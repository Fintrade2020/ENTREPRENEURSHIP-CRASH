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G:\Mi unidad\Datos\Trabajos\"/>
    </mc:Choice>
  </mc:AlternateContent>
  <xr:revisionPtr revIDLastSave="0" documentId="13_ncr:1_{1C9A05CF-9CBD-4E04-BABD-92863E561DE7}" xr6:coauthVersionLast="47" xr6:coauthVersionMax="47" xr10:uidLastSave="{00000000-0000-0000-0000-000000000000}"/>
  <bookViews>
    <workbookView xWindow="-120" yWindow="-120" windowWidth="29040" windowHeight="15840" tabRatio="889" firstSheet="4" activeTab="4" xr2:uid="{00000000-000D-0000-FFFF-FFFF00000000}"/>
  </bookViews>
  <sheets>
    <sheet name="INICIO" sheetId="40" r:id="rId1"/>
    <sheet name="INSTRUCCIONES " sheetId="41" r:id="rId2"/>
    <sheet name="INSTRUCCIONES2" sheetId="14" r:id="rId3"/>
    <sheet name="BASES" sheetId="2" r:id="rId4"/>
    <sheet name="PRODUCTO_O_SERVICIO" sheetId="33" r:id="rId5"/>
    <sheet name="COSTOS_DE_PRODUCCION" sheetId="38" r:id="rId6"/>
    <sheet name="CTOS_VS_ING_OPER-INV_INFRAEST" sheetId="36" r:id="rId7"/>
    <sheet name="GTOS_ADTIVO_Y_VTAS-CTOS_FIJOS" sheetId="18" r:id="rId8"/>
    <sheet name="NECESIDADES_DE_FINANCIACION" sheetId="19" r:id="rId9"/>
    <sheet name="CUADRO_DE_COSTOS_Y_GASTOS_FIJOS" sheetId="20" r:id="rId10"/>
    <sheet name="PUNTO_DE_EQUILIBRIO" sheetId="37" r:id="rId11"/>
    <sheet name="BALANCE_GENERAL" sheetId="22" r:id="rId12"/>
    <sheet name="ESTADO_DE_RESULTADOS" sheetId="23" r:id="rId13"/>
    <sheet name="FLUJO_DE_CAJA" sheetId="24" r:id="rId14"/>
    <sheet name="ANALISIS_DE_VPN_Y_TIR" sheetId="25" r:id="rId15"/>
    <sheet name="ANALISIS_DE_SENSIBILIDAD" sheetId="39" r:id="rId16"/>
  </sheets>
  <definedNames>
    <definedName name="_xlnm._FilterDatabase" localSheetId="5" hidden="1">COSTOS_DE_PRODUCCION!$AT$56:$AX$56</definedName>
    <definedName name="_Hlk68449057" localSheetId="1">'INSTRUCCIONES '!$B$19</definedName>
    <definedName name="_Hlk68449185" localSheetId="1">'INSTRUCCIONES '!$B$21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9" i="37" l="1"/>
  <c r="F19" i="37"/>
  <c r="I9" i="37"/>
  <c r="H9" i="37"/>
  <c r="S22" i="36"/>
  <c r="P22" i="36"/>
  <c r="M22" i="36"/>
  <c r="J22" i="36"/>
  <c r="G22" i="36"/>
  <c r="F9" i="36"/>
  <c r="E9" i="36"/>
  <c r="GW161" i="38"/>
  <c r="GV161" i="38"/>
  <c r="GU161" i="38"/>
  <c r="GT161" i="38"/>
  <c r="GS161" i="38"/>
  <c r="GL161" i="38"/>
  <c r="GJ161" i="38"/>
  <c r="GH161" i="38"/>
  <c r="GF161" i="38"/>
  <c r="GD161" i="38"/>
  <c r="GC161" i="38"/>
  <c r="GB161" i="38"/>
  <c r="GA161" i="38"/>
  <c r="FZ161" i="38"/>
  <c r="FY161" i="38"/>
  <c r="FR161" i="38"/>
  <c r="FP161" i="38"/>
  <c r="FN161" i="38"/>
  <c r="FL161" i="38"/>
  <c r="FJ161" i="38"/>
  <c r="FI161" i="38"/>
  <c r="FH161" i="38"/>
  <c r="FG161" i="38"/>
  <c r="FF161" i="38"/>
  <c r="FE161" i="38"/>
  <c r="EX161" i="38"/>
  <c r="EV161" i="38"/>
  <c r="ET161" i="38"/>
  <c r="ER161" i="38"/>
  <c r="EP161" i="38"/>
  <c r="EO161" i="38"/>
  <c r="EN161" i="38"/>
  <c r="EM161" i="38"/>
  <c r="EL161" i="38"/>
  <c r="EK161" i="38"/>
  <c r="ED161" i="38"/>
  <c r="EB161" i="38"/>
  <c r="DZ161" i="38"/>
  <c r="DX161" i="38"/>
  <c r="DV161" i="38"/>
  <c r="DU161" i="38"/>
  <c r="DT161" i="38"/>
  <c r="DS161" i="38"/>
  <c r="DR161" i="38"/>
  <c r="DQ161" i="38"/>
  <c r="DJ161" i="38"/>
  <c r="DH161" i="38"/>
  <c r="DF161" i="38"/>
  <c r="DD161" i="38"/>
  <c r="DB161" i="38"/>
  <c r="DA161" i="38"/>
  <c r="CZ161" i="38"/>
  <c r="CY161" i="38"/>
  <c r="CX161" i="38"/>
  <c r="CW161" i="38"/>
  <c r="CP161" i="38"/>
  <c r="CN161" i="38"/>
  <c r="CL161" i="38"/>
  <c r="CJ161" i="38"/>
  <c r="CH161" i="38"/>
  <c r="CG161" i="38"/>
  <c r="CF161" i="38"/>
  <c r="CE161" i="38"/>
  <c r="CD161" i="38"/>
  <c r="CC161" i="38"/>
  <c r="BV161" i="38"/>
  <c r="BT161" i="38"/>
  <c r="BR161" i="38"/>
  <c r="BP161" i="38"/>
  <c r="BN161" i="38"/>
  <c r="BM161" i="38"/>
  <c r="BL161" i="38"/>
  <c r="BK161" i="38"/>
  <c r="BJ161" i="38"/>
  <c r="BI161" i="38"/>
  <c r="BB161" i="38"/>
  <c r="AZ161" i="38"/>
  <c r="AX161" i="38"/>
  <c r="AV161" i="38"/>
  <c r="AT161" i="38"/>
  <c r="AS161" i="38"/>
  <c r="AR161" i="38"/>
  <c r="AQ161" i="38"/>
  <c r="AP161" i="38"/>
  <c r="AO161" i="38"/>
  <c r="AH161" i="38"/>
  <c r="AF161" i="38"/>
  <c r="AD161" i="38"/>
  <c r="AB161" i="38"/>
  <c r="Z161" i="38"/>
  <c r="Y161" i="38"/>
  <c r="X161" i="38"/>
  <c r="W161" i="38"/>
  <c r="V161" i="38"/>
  <c r="U161" i="38"/>
  <c r="N161" i="38"/>
  <c r="L161" i="38"/>
  <c r="J161" i="38"/>
  <c r="H161" i="38"/>
  <c r="F161" i="38"/>
  <c r="GL107" i="38"/>
  <c r="GJ107" i="38"/>
  <c r="GH107" i="38"/>
  <c r="GF107" i="38"/>
  <c r="GD107" i="38"/>
  <c r="FR107" i="38"/>
  <c r="FP107" i="38"/>
  <c r="FN107" i="38"/>
  <c r="FL107" i="38"/>
  <c r="FJ107" i="38"/>
  <c r="EX107" i="38"/>
  <c r="EV107" i="38"/>
  <c r="ET107" i="38"/>
  <c r="ER107" i="38"/>
  <c r="EP107" i="38"/>
  <c r="ED107" i="38"/>
  <c r="EB107" i="38"/>
  <c r="DZ107" i="38"/>
  <c r="DX107" i="38"/>
  <c r="DV107" i="38"/>
  <c r="DJ107" i="38"/>
  <c r="DH107" i="38"/>
  <c r="DF107" i="38"/>
  <c r="DD107" i="38"/>
  <c r="DB107" i="38"/>
  <c r="CP107" i="38"/>
  <c r="CN107" i="38"/>
  <c r="CL107" i="38"/>
  <c r="CJ107" i="38"/>
  <c r="CH107" i="38"/>
  <c r="BV107" i="38"/>
  <c r="BT107" i="38"/>
  <c r="BR107" i="38"/>
  <c r="BP107" i="38"/>
  <c r="BN107" i="38"/>
  <c r="BB107" i="38"/>
  <c r="AZ107" i="38"/>
  <c r="AX107" i="38"/>
  <c r="AV107" i="38"/>
  <c r="AT107" i="38"/>
  <c r="AH107" i="38"/>
  <c r="AF107" i="38"/>
  <c r="AD107" i="38"/>
  <c r="AB107" i="38"/>
  <c r="Z107" i="38"/>
  <c r="N107" i="38"/>
  <c r="L107" i="38"/>
  <c r="J107" i="38"/>
  <c r="H107" i="38"/>
  <c r="F107" i="38"/>
  <c r="OD57" i="38"/>
  <c r="OB57" i="38"/>
  <c r="NZ57" i="38"/>
  <c r="NX57" i="38"/>
  <c r="NV57" i="38"/>
  <c r="NJ57" i="38"/>
  <c r="NH57" i="38"/>
  <c r="NF57" i="38"/>
  <c r="ND57" i="38"/>
  <c r="NB57" i="38"/>
  <c r="MP57" i="38"/>
  <c r="MN57" i="38"/>
  <c r="ML57" i="38"/>
  <c r="MJ57" i="38"/>
  <c r="MH57" i="38"/>
  <c r="LV57" i="38"/>
  <c r="LT57" i="38"/>
  <c r="LR57" i="38"/>
  <c r="LP57" i="38"/>
  <c r="LN57" i="38"/>
  <c r="LB57" i="38"/>
  <c r="KZ57" i="38"/>
  <c r="KX57" i="38"/>
  <c r="KV57" i="38"/>
  <c r="KT57" i="38"/>
  <c r="KH57" i="38"/>
  <c r="KF57" i="38"/>
  <c r="KD57" i="38"/>
  <c r="KB57" i="38"/>
  <c r="JZ57" i="38"/>
  <c r="JN57" i="38"/>
  <c r="JL57" i="38"/>
  <c r="JJ57" i="38"/>
  <c r="JH57" i="38"/>
  <c r="JF57" i="38"/>
  <c r="IT57" i="38"/>
  <c r="IR57" i="38"/>
  <c r="IP57" i="38"/>
  <c r="IN57" i="38"/>
  <c r="IL57" i="38"/>
  <c r="HZ57" i="38"/>
  <c r="HX57" i="38"/>
  <c r="HV57" i="38"/>
  <c r="HT57" i="38"/>
  <c r="HR57" i="38"/>
  <c r="HF57" i="38"/>
  <c r="HD57" i="38"/>
  <c r="HB57" i="38"/>
  <c r="GZ57" i="38"/>
  <c r="GX57" i="38"/>
  <c r="GL57" i="38"/>
  <c r="GJ57" i="38"/>
  <c r="GH57" i="38"/>
  <c r="GF57" i="38"/>
  <c r="GD57" i="38"/>
  <c r="FR57" i="38"/>
  <c r="FP57" i="38"/>
  <c r="FN57" i="38"/>
  <c r="FL57" i="38"/>
  <c r="FJ57" i="38"/>
  <c r="EX57" i="38" l="1"/>
  <c r="EV57" i="38"/>
  <c r="ET57" i="38"/>
  <c r="ER57" i="38"/>
  <c r="EP57" i="38"/>
  <c r="ED57" i="38"/>
  <c r="F57" i="38"/>
  <c r="H57" i="38"/>
  <c r="EB57" i="38"/>
  <c r="DZ57" i="38"/>
  <c r="DX57" i="38"/>
  <c r="DV57" i="38"/>
  <c r="DJ57" i="38"/>
  <c r="DH57" i="38"/>
  <c r="DF57" i="38"/>
  <c r="DD57" i="38"/>
  <c r="DB57" i="38"/>
  <c r="CP57" i="38"/>
  <c r="CN57" i="38"/>
  <c r="CL57" i="38"/>
  <c r="CJ57" i="38"/>
  <c r="CH57" i="38"/>
  <c r="BV57" i="38"/>
  <c r="BT57" i="38"/>
  <c r="BR57" i="38"/>
  <c r="BP57" i="38"/>
  <c r="BN57" i="38"/>
  <c r="BB57" i="38"/>
  <c r="AZ57" i="38"/>
  <c r="AX57" i="38"/>
  <c r="AV57" i="38"/>
  <c r="AT57" i="38"/>
  <c r="AH57" i="38"/>
  <c r="AF57" i="38"/>
  <c r="AD57" i="38"/>
  <c r="AB57" i="38"/>
  <c r="Z57" i="38"/>
  <c r="N57" i="38"/>
  <c r="L57" i="38"/>
  <c r="J57" i="38"/>
  <c r="F24" i="33" l="1"/>
  <c r="J24" i="33"/>
  <c r="N24" i="33"/>
  <c r="R24" i="33"/>
  <c r="V24" i="33"/>
  <c r="D26" i="18"/>
  <c r="D27" i="18"/>
  <c r="D28" i="18"/>
  <c r="D29" i="18"/>
  <c r="D30" i="18"/>
  <c r="D31" i="18"/>
  <c r="D32" i="18"/>
  <c r="D33" i="18"/>
  <c r="D34" i="18"/>
  <c r="D35" i="18"/>
  <c r="E51" i="18"/>
  <c r="E52" i="18"/>
  <c r="E53" i="18"/>
  <c r="E54" i="18"/>
  <c r="E55" i="18"/>
  <c r="E56" i="18"/>
  <c r="E57" i="18"/>
  <c r="E58" i="18"/>
  <c r="E59" i="18"/>
  <c r="E16" i="2" l="1"/>
  <c r="F16" i="2"/>
  <c r="G16" i="2"/>
  <c r="H16" i="2"/>
  <c r="D16" i="2"/>
  <c r="H35" i="2" l="1"/>
  <c r="H36" i="2" s="1"/>
  <c r="H37" i="2" s="1"/>
  <c r="H38" i="2" s="1"/>
  <c r="H39" i="2" s="1"/>
  <c r="H40" i="2" s="1"/>
  <c r="F46" i="25" l="1"/>
  <c r="C3" i="38"/>
  <c r="B15" i="41" l="1"/>
  <c r="GO107" i="38" l="1"/>
  <c r="GD104" i="38"/>
  <c r="FU107" i="38"/>
  <c r="FU57" i="38"/>
  <c r="FJ104" i="38"/>
  <c r="F22" i="36"/>
  <c r="G9" i="36" l="1"/>
  <c r="F9" i="37"/>
  <c r="E22" i="36"/>
  <c r="D188" i="38"/>
  <c r="D161" i="38"/>
  <c r="D143" i="38"/>
  <c r="D107" i="38"/>
  <c r="D91" i="38"/>
  <c r="D57" i="38"/>
  <c r="D43" i="38"/>
  <c r="D70" i="39"/>
  <c r="E70" i="39"/>
  <c r="F70" i="39"/>
  <c r="G70" i="39"/>
  <c r="C70" i="39"/>
  <c r="G9" i="37" l="1"/>
  <c r="D66" i="39" l="1"/>
  <c r="E66" i="39"/>
  <c r="F66" i="39"/>
  <c r="G66" i="39"/>
  <c r="C66" i="39"/>
  <c r="B26" i="23"/>
  <c r="D31" i="39"/>
  <c r="E31" i="39"/>
  <c r="F31" i="39"/>
  <c r="G31" i="39"/>
  <c r="D30" i="39"/>
  <c r="E30" i="39"/>
  <c r="F30" i="39"/>
  <c r="G30" i="39"/>
  <c r="D28" i="39"/>
  <c r="E28" i="39"/>
  <c r="F28" i="39"/>
  <c r="G28" i="39"/>
  <c r="D29" i="39"/>
  <c r="E29" i="39"/>
  <c r="F29" i="39"/>
  <c r="G29" i="39"/>
  <c r="D27" i="39"/>
  <c r="D32" i="39" s="1"/>
  <c r="E27" i="39"/>
  <c r="E32" i="39" s="1"/>
  <c r="F27" i="39"/>
  <c r="G27" i="39"/>
  <c r="C27" i="39"/>
  <c r="C28" i="39"/>
  <c r="C29" i="39"/>
  <c r="C30" i="39"/>
  <c r="C31" i="39"/>
  <c r="D23" i="39"/>
  <c r="E23" i="39"/>
  <c r="F23" i="39"/>
  <c r="G23" i="39"/>
  <c r="C23" i="39"/>
  <c r="D21" i="39"/>
  <c r="E21" i="39"/>
  <c r="F21" i="39"/>
  <c r="G21" i="39"/>
  <c r="C21" i="39"/>
  <c r="G32" i="39" l="1"/>
  <c r="F32" i="39"/>
  <c r="C32" i="39"/>
  <c r="F26" i="33" l="1"/>
  <c r="C28" i="19"/>
  <c r="C27" i="19"/>
  <c r="GO161" i="38" l="1"/>
  <c r="GP161" i="38" s="1"/>
  <c r="GQ161" i="38" s="1"/>
  <c r="GR161" i="38" s="1"/>
  <c r="GE161" i="38"/>
  <c r="GD158" i="38"/>
  <c r="FU161" i="38"/>
  <c r="FV161" i="38" s="1"/>
  <c r="FW161" i="38" s="1"/>
  <c r="FX161" i="38" s="1"/>
  <c r="FK161" i="38"/>
  <c r="FJ158" i="38"/>
  <c r="FA161" i="38"/>
  <c r="FB161" i="38" s="1"/>
  <c r="FC161" i="38" s="1"/>
  <c r="FD161" i="38" s="1"/>
  <c r="EQ161" i="38"/>
  <c r="EP158" i="38"/>
  <c r="EG161" i="38"/>
  <c r="EH161" i="38" s="1"/>
  <c r="EI161" i="38" s="1"/>
  <c r="EJ161" i="38" s="1"/>
  <c r="DW161" i="38"/>
  <c r="DV158" i="38"/>
  <c r="DM161" i="38"/>
  <c r="DN161" i="38" s="1"/>
  <c r="DO161" i="38" s="1"/>
  <c r="DP161" i="38" s="1"/>
  <c r="DC161" i="38"/>
  <c r="DB158" i="38"/>
  <c r="CS161" i="38"/>
  <c r="CT161" i="38" s="1"/>
  <c r="CU161" i="38" s="1"/>
  <c r="CV161" i="38" s="1"/>
  <c r="CI161" i="38"/>
  <c r="CH158" i="38"/>
  <c r="BY161" i="38"/>
  <c r="BZ161" i="38" s="1"/>
  <c r="CA161" i="38" s="1"/>
  <c r="CB161" i="38" s="1"/>
  <c r="BO161" i="38"/>
  <c r="BN158" i="38"/>
  <c r="BE161" i="38"/>
  <c r="BF161" i="38" s="1"/>
  <c r="BG161" i="38" s="1"/>
  <c r="BH161" i="38" s="1"/>
  <c r="AU161" i="38"/>
  <c r="AT158" i="38"/>
  <c r="AK161" i="38"/>
  <c r="AL161" i="38" s="1"/>
  <c r="AM161" i="38" s="1"/>
  <c r="AN161" i="38" s="1"/>
  <c r="AA161" i="38"/>
  <c r="Z158" i="38"/>
  <c r="Q161" i="38"/>
  <c r="R161" i="38" s="1"/>
  <c r="S161" i="38" s="1"/>
  <c r="T161" i="38" s="1"/>
  <c r="G161" i="38"/>
  <c r="F158" i="38"/>
  <c r="GP107" i="38"/>
  <c r="GQ107" i="38" s="1"/>
  <c r="GR107" i="38" s="1"/>
  <c r="GE107" i="38"/>
  <c r="GN107" i="38" s="1"/>
  <c r="FV107" i="38"/>
  <c r="FW107" i="38" s="1"/>
  <c r="FX107" i="38" s="1"/>
  <c r="FK107" i="38"/>
  <c r="FA107" i="38"/>
  <c r="FB107" i="38" s="1"/>
  <c r="FC107" i="38" s="1"/>
  <c r="FD107" i="38" s="1"/>
  <c r="EP104" i="38"/>
  <c r="EQ107" i="38"/>
  <c r="EG107" i="38"/>
  <c r="EH107" i="38" s="1"/>
  <c r="EI107" i="38" s="1"/>
  <c r="EJ107" i="38" s="1"/>
  <c r="DW107" i="38"/>
  <c r="EF107" i="38" s="1"/>
  <c r="DV104" i="38"/>
  <c r="DM107" i="38"/>
  <c r="DN107" i="38" s="1"/>
  <c r="DO107" i="38" s="1"/>
  <c r="DP107" i="38" s="1"/>
  <c r="DC107" i="38"/>
  <c r="DL107" i="38" s="1"/>
  <c r="DB104" i="38"/>
  <c r="CS107" i="38"/>
  <c r="CT107" i="38" s="1"/>
  <c r="CU107" i="38" s="1"/>
  <c r="CV107" i="38" s="1"/>
  <c r="CI107" i="38"/>
  <c r="CH104" i="38"/>
  <c r="BY107" i="38"/>
  <c r="BZ107" i="38" s="1"/>
  <c r="CA107" i="38" s="1"/>
  <c r="CB107" i="38" s="1"/>
  <c r="BO107" i="38"/>
  <c r="BN104" i="38"/>
  <c r="AT104" i="38"/>
  <c r="BE107" i="38"/>
  <c r="BF107" i="38" s="1"/>
  <c r="BG107" i="38" s="1"/>
  <c r="BH107" i="38" s="1"/>
  <c r="AU107" i="38"/>
  <c r="BD107" i="38" s="1"/>
  <c r="AK107" i="38"/>
  <c r="AL107" i="38" s="1"/>
  <c r="AM107" i="38" s="1"/>
  <c r="AN107" i="38" s="1"/>
  <c r="AA107" i="38"/>
  <c r="Z104" i="38"/>
  <c r="Q107" i="38"/>
  <c r="R107" i="38" s="1"/>
  <c r="S107" i="38" s="1"/>
  <c r="T107" i="38" s="1"/>
  <c r="G107" i="38"/>
  <c r="F104" i="38"/>
  <c r="F142" i="38" a="1"/>
  <c r="F142" i="38" s="1"/>
  <c r="F90" i="38" a="1"/>
  <c r="F90" i="38" s="1"/>
  <c r="F42" i="38" a="1"/>
  <c r="F42" i="38" s="1"/>
  <c r="OG57" i="38"/>
  <c r="OH57" i="38" s="1"/>
  <c r="OI57" i="38" s="1"/>
  <c r="OJ57" i="38" s="1"/>
  <c r="NW57" i="38"/>
  <c r="NV54" i="38"/>
  <c r="NM57" i="38"/>
  <c r="NN57" i="38" s="1"/>
  <c r="NO57" i="38" s="1"/>
  <c r="NP57" i="38" s="1"/>
  <c r="NC57" i="38"/>
  <c r="NB54" i="38"/>
  <c r="MS57" i="38"/>
  <c r="MT57" i="38" s="1"/>
  <c r="MU57" i="38" s="1"/>
  <c r="MV57" i="38" s="1"/>
  <c r="MI57" i="38"/>
  <c r="MH54" i="38"/>
  <c r="LY57" i="38"/>
  <c r="LZ57" i="38" s="1"/>
  <c r="MA57" i="38" s="1"/>
  <c r="MB57" i="38" s="1"/>
  <c r="LO57" i="38"/>
  <c r="LN54" i="38"/>
  <c r="LE57" i="38"/>
  <c r="LF57" i="38" s="1"/>
  <c r="LG57" i="38" s="1"/>
  <c r="LH57" i="38" s="1"/>
  <c r="KU57" i="38"/>
  <c r="KT54" i="38"/>
  <c r="KK57" i="38"/>
  <c r="KL57" i="38" s="1"/>
  <c r="KM57" i="38" s="1"/>
  <c r="KN57" i="38" s="1"/>
  <c r="KA57" i="38"/>
  <c r="JZ54" i="38"/>
  <c r="JQ57" i="38"/>
  <c r="JR57" i="38" s="1"/>
  <c r="JS57" i="38" s="1"/>
  <c r="JT57" i="38" s="1"/>
  <c r="JG57" i="38"/>
  <c r="JF54" i="38"/>
  <c r="IW57" i="38"/>
  <c r="IX57" i="38" s="1"/>
  <c r="IY57" i="38" s="1"/>
  <c r="IZ57" i="38" s="1"/>
  <c r="IM57" i="38"/>
  <c r="IL54" i="38"/>
  <c r="IC57" i="38"/>
  <c r="ID57" i="38" s="1"/>
  <c r="IE57" i="38" s="1"/>
  <c r="IF57" i="38" s="1"/>
  <c r="HS57" i="38"/>
  <c r="HR54" i="38"/>
  <c r="HI57" i="38"/>
  <c r="HJ57" i="38" s="1"/>
  <c r="HK57" i="38" s="1"/>
  <c r="HL57" i="38" s="1"/>
  <c r="GY57" i="38"/>
  <c r="GX54" i="38"/>
  <c r="GO57" i="38"/>
  <c r="GP57" i="38" s="1"/>
  <c r="GQ57" i="38" s="1"/>
  <c r="GR57" i="38" s="1"/>
  <c r="GE57" i="38"/>
  <c r="GD54" i="38"/>
  <c r="FV57" i="38"/>
  <c r="FW57" i="38" s="1"/>
  <c r="FX57" i="38" s="1"/>
  <c r="FK57" i="38"/>
  <c r="FJ54" i="38"/>
  <c r="FA57" i="38"/>
  <c r="FB57" i="38" s="1"/>
  <c r="FC57" i="38" s="1"/>
  <c r="FD57" i="38" s="1"/>
  <c r="EG57" i="38"/>
  <c r="EH57" i="38" s="1"/>
  <c r="EI57" i="38" s="1"/>
  <c r="EJ57" i="38" s="1"/>
  <c r="EQ57" i="38"/>
  <c r="EP54" i="38"/>
  <c r="DW57" i="38"/>
  <c r="DV54" i="38"/>
  <c r="DM57" i="38"/>
  <c r="DN57" i="38" s="1"/>
  <c r="DO57" i="38" s="1"/>
  <c r="DP57" i="38" s="1"/>
  <c r="DC57" i="38"/>
  <c r="DB54" i="38"/>
  <c r="CS57" i="38"/>
  <c r="CT57" i="38" s="1"/>
  <c r="CU57" i="38" s="1"/>
  <c r="CV57" i="38" s="1"/>
  <c r="CI57" i="38"/>
  <c r="CH54" i="38"/>
  <c r="BY57" i="38"/>
  <c r="BZ57" i="38" s="1"/>
  <c r="CA57" i="38" s="1"/>
  <c r="CB57" i="38" s="1"/>
  <c r="BO57" i="38"/>
  <c r="BN54" i="38"/>
  <c r="BE57" i="38"/>
  <c r="BF57" i="38" s="1"/>
  <c r="BG57" i="38" s="1"/>
  <c r="BH57" i="38" s="1"/>
  <c r="AU57" i="38"/>
  <c r="AT54" i="38"/>
  <c r="AK57" i="38"/>
  <c r="AL57" i="38" s="1"/>
  <c r="AM57" i="38" s="1"/>
  <c r="AN57" i="38" s="1"/>
  <c r="AA57" i="38"/>
  <c r="Z54" i="38"/>
  <c r="Q57" i="38"/>
  <c r="R57" i="38" s="1"/>
  <c r="S57" i="38" s="1"/>
  <c r="T57" i="38" s="1"/>
  <c r="F54" i="38"/>
  <c r="BM107" i="38" l="1"/>
  <c r="BK107" i="38"/>
  <c r="BI107" i="38"/>
  <c r="BJ107" i="38"/>
  <c r="BL107" i="38"/>
  <c r="DU107" i="38"/>
  <c r="DS107" i="38"/>
  <c r="DQ107" i="38"/>
  <c r="DT107" i="38"/>
  <c r="DR107" i="38"/>
  <c r="GW107" i="38"/>
  <c r="GU107" i="38"/>
  <c r="GS107" i="38"/>
  <c r="GV107" i="38"/>
  <c r="GT107" i="38"/>
  <c r="EO107" i="38"/>
  <c r="EM107" i="38"/>
  <c r="EK107" i="38"/>
  <c r="EL107" i="38"/>
  <c r="EN107" i="38"/>
  <c r="ES107" i="38"/>
  <c r="EU107" i="38" s="1"/>
  <c r="EW107" i="38" s="1"/>
  <c r="EY107" i="38" s="1"/>
  <c r="EZ107" i="38"/>
  <c r="FM107" i="38"/>
  <c r="FO107" i="38" s="1"/>
  <c r="FQ107" i="38" s="1"/>
  <c r="FS107" i="38" s="1"/>
  <c r="FT107" i="38"/>
  <c r="GG161" i="38"/>
  <c r="GI161" i="38" s="1"/>
  <c r="GK161" i="38" s="1"/>
  <c r="GM161" i="38" s="1"/>
  <c r="GN161" i="38"/>
  <c r="DE107" i="38"/>
  <c r="DG107" i="38" s="1"/>
  <c r="DI107" i="38" s="1"/>
  <c r="DK107" i="38" s="1"/>
  <c r="GG107" i="38"/>
  <c r="GI107" i="38" s="1"/>
  <c r="GK107" i="38" s="1"/>
  <c r="GM107" i="38" s="1"/>
  <c r="DY107" i="38"/>
  <c r="EA107" i="38" s="1"/>
  <c r="EC107" i="38" s="1"/>
  <c r="EE107" i="38" s="1"/>
  <c r="FM161" i="38"/>
  <c r="FO161" i="38" s="1"/>
  <c r="FQ161" i="38" s="1"/>
  <c r="FS161" i="38" s="1"/>
  <c r="FT161" i="38"/>
  <c r="ES161" i="38"/>
  <c r="EU161" i="38" s="1"/>
  <c r="EW161" i="38" s="1"/>
  <c r="EY161" i="38" s="1"/>
  <c r="EZ161" i="38"/>
  <c r="DY161" i="38"/>
  <c r="EA161" i="38" s="1"/>
  <c r="EC161" i="38" s="1"/>
  <c r="EE161" i="38" s="1"/>
  <c r="EF161" i="38"/>
  <c r="DE161" i="38"/>
  <c r="DG161" i="38" s="1"/>
  <c r="DI161" i="38" s="1"/>
  <c r="DK161" i="38" s="1"/>
  <c r="DL161" i="38"/>
  <c r="CK161" i="38"/>
  <c r="CM161" i="38" s="1"/>
  <c r="CO161" i="38" s="1"/>
  <c r="CQ161" i="38" s="1"/>
  <c r="CR161" i="38"/>
  <c r="BQ161" i="38"/>
  <c r="BS161" i="38" s="1"/>
  <c r="BU161" i="38" s="1"/>
  <c r="BW161" i="38" s="1"/>
  <c r="BX161" i="38"/>
  <c r="AW161" i="38"/>
  <c r="AY161" i="38" s="1"/>
  <c r="BA161" i="38" s="1"/>
  <c r="BC161" i="38" s="1"/>
  <c r="BD161" i="38"/>
  <c r="AC161" i="38"/>
  <c r="AE161" i="38" s="1"/>
  <c r="AG161" i="38" s="1"/>
  <c r="AI161" i="38" s="1"/>
  <c r="AJ161" i="38"/>
  <c r="I161" i="38"/>
  <c r="K161" i="38" s="1"/>
  <c r="M161" i="38" s="1"/>
  <c r="O161" i="38" s="1"/>
  <c r="P161" i="38"/>
  <c r="BQ107" i="38"/>
  <c r="BS107" i="38" s="1"/>
  <c r="BU107" i="38" s="1"/>
  <c r="BW107" i="38" s="1"/>
  <c r="BX107" i="38"/>
  <c r="CK107" i="38"/>
  <c r="CM107" i="38" s="1"/>
  <c r="CO107" i="38" s="1"/>
  <c r="CQ107" i="38" s="1"/>
  <c r="CR107" i="38"/>
  <c r="AW107" i="38"/>
  <c r="AY107" i="38" s="1"/>
  <c r="BA107" i="38" s="1"/>
  <c r="BC107" i="38" s="1"/>
  <c r="AC107" i="38"/>
  <c r="AE107" i="38" s="1"/>
  <c r="AG107" i="38" s="1"/>
  <c r="AI107" i="38" s="1"/>
  <c r="AJ107" i="38"/>
  <c r="I107" i="38"/>
  <c r="K107" i="38" s="1"/>
  <c r="M107" i="38" s="1"/>
  <c r="O107" i="38" s="1"/>
  <c r="P107" i="38"/>
  <c r="NY57" i="38"/>
  <c r="OA57" i="38" s="1"/>
  <c r="OC57" i="38" s="1"/>
  <c r="OE57" i="38" s="1"/>
  <c r="OF57" i="38"/>
  <c r="NE57" i="38"/>
  <c r="NG57" i="38" s="1"/>
  <c r="NI57" i="38" s="1"/>
  <c r="NK57" i="38" s="1"/>
  <c r="NL57" i="38"/>
  <c r="MK57" i="38"/>
  <c r="MM57" i="38" s="1"/>
  <c r="MO57" i="38" s="1"/>
  <c r="MQ57" i="38" s="1"/>
  <c r="MR57" i="38"/>
  <c r="AC57" i="38"/>
  <c r="AE57" i="38" s="1"/>
  <c r="AG57" i="38" s="1"/>
  <c r="AI57" i="38" s="1"/>
  <c r="LQ57" i="38"/>
  <c r="LS57" i="38" s="1"/>
  <c r="LU57" i="38" s="1"/>
  <c r="LW57" i="38" s="1"/>
  <c r="LX57" i="38"/>
  <c r="KW57" i="38"/>
  <c r="KY57" i="38" s="1"/>
  <c r="LA57" i="38" s="1"/>
  <c r="LC57" i="38" s="1"/>
  <c r="LD57" i="38"/>
  <c r="KC57" i="38"/>
  <c r="KE57" i="38" s="1"/>
  <c r="KG57" i="38" s="1"/>
  <c r="KI57" i="38" s="1"/>
  <c r="KJ57" i="38"/>
  <c r="JI57" i="38"/>
  <c r="JK57" i="38" s="1"/>
  <c r="JM57" i="38" s="1"/>
  <c r="JO57" i="38" s="1"/>
  <c r="JP57" i="38"/>
  <c r="IV57" i="38"/>
  <c r="IO57" i="38"/>
  <c r="IQ57" i="38" s="1"/>
  <c r="IS57" i="38" s="1"/>
  <c r="IU57" i="38" s="1"/>
  <c r="IB57" i="38"/>
  <c r="HU57" i="38"/>
  <c r="HW57" i="38" s="1"/>
  <c r="HY57" i="38" s="1"/>
  <c r="IA57" i="38" s="1"/>
  <c r="HA57" i="38"/>
  <c r="HC57" i="38" s="1"/>
  <c r="HE57" i="38" s="1"/>
  <c r="HG57" i="38" s="1"/>
  <c r="HH57" i="38"/>
  <c r="GG57" i="38"/>
  <c r="GI57" i="38" s="1"/>
  <c r="GK57" i="38" s="1"/>
  <c r="GM57" i="38" s="1"/>
  <c r="GN57" i="38"/>
  <c r="FM57" i="38"/>
  <c r="FO57" i="38" s="1"/>
  <c r="FQ57" i="38" s="1"/>
  <c r="FS57" i="38" s="1"/>
  <c r="FT57" i="38"/>
  <c r="EZ57" i="38"/>
  <c r="ES57" i="38"/>
  <c r="EU57" i="38" s="1"/>
  <c r="EW57" i="38" s="1"/>
  <c r="EY57" i="38" s="1"/>
  <c r="DY57" i="38"/>
  <c r="EA57" i="38" s="1"/>
  <c r="EC57" i="38" s="1"/>
  <c r="EE57" i="38" s="1"/>
  <c r="EF57" i="38"/>
  <c r="DE57" i="38"/>
  <c r="DG57" i="38" s="1"/>
  <c r="DI57" i="38" s="1"/>
  <c r="DK57" i="38" s="1"/>
  <c r="DL57" i="38"/>
  <c r="CK57" i="38"/>
  <c r="CM57" i="38" s="1"/>
  <c r="CO57" i="38" s="1"/>
  <c r="CQ57" i="38" s="1"/>
  <c r="CR57" i="38"/>
  <c r="BQ57" i="38"/>
  <c r="BS57" i="38" s="1"/>
  <c r="BU57" i="38" s="1"/>
  <c r="BW57" i="38" s="1"/>
  <c r="BX57" i="38"/>
  <c r="AW57" i="38"/>
  <c r="AY57" i="38" s="1"/>
  <c r="BA57" i="38" s="1"/>
  <c r="BC57" i="38" s="1"/>
  <c r="BD57" i="38"/>
  <c r="AJ57" i="38"/>
  <c r="FI57" i="38" l="1"/>
  <c r="FG57" i="38"/>
  <c r="FH57" i="38"/>
  <c r="FF57" i="38"/>
  <c r="FE57" i="38"/>
  <c r="IK57" i="38"/>
  <c r="II57" i="38"/>
  <c r="IG57" i="38"/>
  <c r="IJ57" i="38"/>
  <c r="IH57" i="38"/>
  <c r="JE57" i="38"/>
  <c r="JC57" i="38"/>
  <c r="JA57" i="38"/>
  <c r="JD57" i="38"/>
  <c r="JB57" i="38"/>
  <c r="NA57" i="38"/>
  <c r="MY57" i="38"/>
  <c r="MW57" i="38"/>
  <c r="MZ57" i="38"/>
  <c r="MX57" i="38"/>
  <c r="NU57" i="38"/>
  <c r="NS57" i="38"/>
  <c r="NQ57" i="38"/>
  <c r="NT57" i="38"/>
  <c r="NR57" i="38"/>
  <c r="OO57" i="38"/>
  <c r="OM57" i="38"/>
  <c r="OK57" i="38"/>
  <c r="ON57" i="38"/>
  <c r="OL57" i="38"/>
  <c r="EN57" i="38"/>
  <c r="EL57" i="38"/>
  <c r="EO57" i="38"/>
  <c r="EM57" i="38"/>
  <c r="EK57" i="38"/>
  <c r="GC57" i="38"/>
  <c r="GA57" i="38"/>
  <c r="FY57" i="38"/>
  <c r="GB57" i="38"/>
  <c r="FZ57" i="38"/>
  <c r="GW57" i="38"/>
  <c r="GU57" i="38"/>
  <c r="GS57" i="38"/>
  <c r="GV57" i="38"/>
  <c r="GT57" i="38"/>
  <c r="HQ57" i="38"/>
  <c r="HO57" i="38"/>
  <c r="HM57" i="38"/>
  <c r="HP57" i="38"/>
  <c r="HN57" i="38"/>
  <c r="JY57" i="38"/>
  <c r="JW57" i="38"/>
  <c r="JU57" i="38"/>
  <c r="JX57" i="38"/>
  <c r="JV57" i="38"/>
  <c r="KS57" i="38"/>
  <c r="KQ57" i="38"/>
  <c r="KO57" i="38"/>
  <c r="KR57" i="38"/>
  <c r="KP57" i="38"/>
  <c r="LM57" i="38"/>
  <c r="LK57" i="38"/>
  <c r="LI57" i="38"/>
  <c r="LL57" i="38"/>
  <c r="LJ57" i="38"/>
  <c r="MG57" i="38"/>
  <c r="ME57" i="38"/>
  <c r="MC57" i="38"/>
  <c r="MF57" i="38"/>
  <c r="MD57" i="38"/>
  <c r="DA107" i="38"/>
  <c r="CY107" i="38"/>
  <c r="CW107" i="38"/>
  <c r="CX107" i="38"/>
  <c r="CZ107" i="38"/>
  <c r="CG107" i="38"/>
  <c r="CE107" i="38"/>
  <c r="CC107" i="38"/>
  <c r="CF107" i="38"/>
  <c r="CD107" i="38"/>
  <c r="Y107" i="38"/>
  <c r="W107" i="38"/>
  <c r="U107" i="38"/>
  <c r="V107" i="38"/>
  <c r="X107" i="38"/>
  <c r="AS107" i="38"/>
  <c r="AQ107" i="38"/>
  <c r="AO107" i="38"/>
  <c r="AR107" i="38"/>
  <c r="AP107" i="38"/>
  <c r="GC107" i="38"/>
  <c r="GA107" i="38"/>
  <c r="FY107" i="38"/>
  <c r="FZ107" i="38"/>
  <c r="GB107" i="38"/>
  <c r="FI107" i="38"/>
  <c r="FG107" i="38"/>
  <c r="FG117" i="38" s="1"/>
  <c r="FE107" i="38"/>
  <c r="FE117" i="38" s="1"/>
  <c r="FH107" i="38"/>
  <c r="FH117" i="38" s="1"/>
  <c r="FF107" i="38"/>
  <c r="FF117" i="38" s="1"/>
  <c r="BM57" i="38"/>
  <c r="BK57" i="38"/>
  <c r="BI57" i="38"/>
  <c r="BL57" i="38"/>
  <c r="BJ57" i="38"/>
  <c r="DA57" i="38"/>
  <c r="CY57" i="38"/>
  <c r="CW57" i="38"/>
  <c r="CZ57" i="38"/>
  <c r="CX57" i="38"/>
  <c r="DU57" i="38"/>
  <c r="DS57" i="38"/>
  <c r="DQ57" i="38"/>
  <c r="DT57" i="38"/>
  <c r="DR57" i="38"/>
  <c r="CG57" i="38"/>
  <c r="CE57" i="38"/>
  <c r="CC57" i="38"/>
  <c r="CF57" i="38"/>
  <c r="CD57" i="38"/>
  <c r="AS57" i="38"/>
  <c r="AQ57" i="38"/>
  <c r="AO57" i="38"/>
  <c r="AR57" i="38"/>
  <c r="AP57" i="38"/>
  <c r="EM117" i="38"/>
  <c r="EO117" i="38"/>
  <c r="EL117" i="38"/>
  <c r="FI117" i="38"/>
  <c r="EK117" i="38"/>
  <c r="EN117" i="38"/>
  <c r="DU117" i="38"/>
  <c r="DS117" i="38"/>
  <c r="DQ117" i="38"/>
  <c r="DT117" i="38"/>
  <c r="DR117" i="38"/>
  <c r="BM117" i="38"/>
  <c r="BK117" i="38"/>
  <c r="BI117" i="38"/>
  <c r="BL117" i="38"/>
  <c r="BJ117" i="38"/>
  <c r="CG117" i="38"/>
  <c r="CE117" i="38"/>
  <c r="CC117" i="38"/>
  <c r="CF117" i="38"/>
  <c r="CD117" i="38"/>
  <c r="MY68" i="38"/>
  <c r="MZ68" i="38"/>
  <c r="LM68" i="38"/>
  <c r="JX68" i="38"/>
  <c r="IK68" i="38"/>
  <c r="GV68" i="38"/>
  <c r="FG68" i="38"/>
  <c r="EN68" i="38"/>
  <c r="DA68" i="38"/>
  <c r="CW68" i="38" l="1"/>
  <c r="FH68" i="38"/>
  <c r="GU68" i="38"/>
  <c r="CX68" i="38"/>
  <c r="EM68" i="38"/>
  <c r="JW68" i="38"/>
  <c r="GZ107" i="38"/>
  <c r="M188" i="38" s="1"/>
  <c r="FY117" i="38"/>
  <c r="CZ68" i="38"/>
  <c r="GX107" i="38"/>
  <c r="K188" i="38" s="1"/>
  <c r="GY107" i="38"/>
  <c r="L188" i="38" s="1"/>
  <c r="HB107" i="38"/>
  <c r="O188" i="38" s="1"/>
  <c r="GS117" i="38"/>
  <c r="GV171" i="38"/>
  <c r="HA161" i="38"/>
  <c r="S188" i="38" s="1"/>
  <c r="HA107" i="38"/>
  <c r="N188" i="38" s="1"/>
  <c r="GU117" i="38"/>
  <c r="GS171" i="38"/>
  <c r="GX161" i="38"/>
  <c r="P188" i="38" s="1"/>
  <c r="OM68" i="38"/>
  <c r="GT117" i="38"/>
  <c r="GW117" i="38"/>
  <c r="GU171" i="38"/>
  <c r="GZ161" i="38"/>
  <c r="R188" i="38" s="1"/>
  <c r="ON68" i="38"/>
  <c r="GV117" i="38"/>
  <c r="GT171" i="38"/>
  <c r="GY161" i="38"/>
  <c r="Q188" i="38" s="1"/>
  <c r="GW171" i="38"/>
  <c r="HB161" i="38"/>
  <c r="T188" i="38" s="1"/>
  <c r="CY171" i="38"/>
  <c r="DT171" i="38"/>
  <c r="FH171" i="38"/>
  <c r="W171" i="38"/>
  <c r="EM171" i="38"/>
  <c r="AO171" i="38"/>
  <c r="BJ171" i="38"/>
  <c r="BM171" i="38"/>
  <c r="CC171" i="38"/>
  <c r="GA171" i="38"/>
  <c r="AP171" i="38"/>
  <c r="AS171" i="38"/>
  <c r="BI171" i="38"/>
  <c r="CD171" i="38"/>
  <c r="CG171" i="38"/>
  <c r="DS171" i="38"/>
  <c r="EN171" i="38"/>
  <c r="FG171" i="38"/>
  <c r="V171" i="38"/>
  <c r="Y171" i="38"/>
  <c r="AQ171" i="38"/>
  <c r="BL171" i="38"/>
  <c r="CE171" i="38"/>
  <c r="CX171" i="38"/>
  <c r="DA171" i="38"/>
  <c r="DQ171" i="38"/>
  <c r="EL171" i="38"/>
  <c r="EO171" i="38"/>
  <c r="FE171" i="38"/>
  <c r="FZ171" i="38"/>
  <c r="GC171" i="38"/>
  <c r="X171" i="38"/>
  <c r="CZ171" i="38"/>
  <c r="GB171" i="38"/>
  <c r="CY68" i="38"/>
  <c r="U117" i="38"/>
  <c r="AR117" i="38"/>
  <c r="U171" i="38"/>
  <c r="AR171" i="38"/>
  <c r="BK171" i="38"/>
  <c r="CF171" i="38"/>
  <c r="CW171" i="38"/>
  <c r="DR171" i="38"/>
  <c r="DU171" i="38"/>
  <c r="EK171" i="38"/>
  <c r="FF171" i="38"/>
  <c r="FI171" i="38"/>
  <c r="FY171" i="38"/>
  <c r="FZ117" i="38"/>
  <c r="GC117" i="38"/>
  <c r="AO117" i="38"/>
  <c r="GB117" i="38"/>
  <c r="V117" i="38"/>
  <c r="CZ117" i="38"/>
  <c r="CW117" i="38"/>
  <c r="MX68" i="38"/>
  <c r="OL68" i="38"/>
  <c r="W117" i="38"/>
  <c r="CY117" i="38"/>
  <c r="AO68" i="38"/>
  <c r="KO68" i="38"/>
  <c r="NU68" i="38"/>
  <c r="X117" i="38"/>
  <c r="Y117" i="38"/>
  <c r="AQ117" i="38"/>
  <c r="CX117" i="38"/>
  <c r="DA117" i="38"/>
  <c r="AP117" i="38"/>
  <c r="AS117" i="38"/>
  <c r="GA117" i="38"/>
  <c r="FF68" i="38"/>
  <c r="JV68" i="38"/>
  <c r="LK68" i="38"/>
  <c r="BL68" i="38"/>
  <c r="BM68" i="38"/>
  <c r="CE68" i="38"/>
  <c r="DS68" i="38"/>
  <c r="EL68" i="38"/>
  <c r="FE68" i="38"/>
  <c r="GB68" i="38"/>
  <c r="GC68" i="38"/>
  <c r="GT68" i="38"/>
  <c r="HM68" i="38"/>
  <c r="JD68" i="38"/>
  <c r="II68" i="38"/>
  <c r="JU68" i="38"/>
  <c r="LI68" i="38"/>
  <c r="MW68" i="38"/>
  <c r="NT68" i="38"/>
  <c r="OK68" i="38"/>
  <c r="AR68" i="38"/>
  <c r="AS68" i="38"/>
  <c r="BK68" i="38"/>
  <c r="CD68" i="38"/>
  <c r="DR68" i="38"/>
  <c r="GA68" i="38"/>
  <c r="HP68" i="38"/>
  <c r="HQ68" i="38"/>
  <c r="JC68" i="38"/>
  <c r="IJ68" i="38"/>
  <c r="KR68" i="38"/>
  <c r="KS68" i="38"/>
  <c r="NS68" i="38"/>
  <c r="JE68" i="38"/>
  <c r="MC68" i="38"/>
  <c r="FI68" i="38"/>
  <c r="GS68" i="38"/>
  <c r="MG68" i="38"/>
  <c r="NA68" i="38"/>
  <c r="AQ68" i="38"/>
  <c r="BJ68" i="38"/>
  <c r="CC68" i="38"/>
  <c r="DQ68" i="38"/>
  <c r="EO68" i="38"/>
  <c r="FZ68" i="38"/>
  <c r="GW68" i="38"/>
  <c r="HO68" i="38"/>
  <c r="JB68" i="38"/>
  <c r="IH68" i="38"/>
  <c r="KQ68" i="38"/>
  <c r="MF68" i="38"/>
  <c r="LL68" i="38"/>
  <c r="NR68" i="38"/>
  <c r="EK68" i="38"/>
  <c r="JY68" i="38"/>
  <c r="ME68" i="38"/>
  <c r="OO68" i="38"/>
  <c r="AP68" i="38"/>
  <c r="BI68" i="38"/>
  <c r="CF68" i="38"/>
  <c r="CG68" i="38"/>
  <c r="DT68" i="38"/>
  <c r="DU68" i="38"/>
  <c r="FY68" i="38"/>
  <c r="HN68" i="38"/>
  <c r="JA68" i="38"/>
  <c r="IG68" i="38"/>
  <c r="KP68" i="38"/>
  <c r="MD68" i="38"/>
  <c r="LJ68" i="38"/>
  <c r="NQ68" i="38"/>
  <c r="D16" i="25"/>
  <c r="D74" i="39" s="1"/>
  <c r="C16" i="25"/>
  <c r="C74" i="39" s="1"/>
  <c r="B6" i="24"/>
  <c r="C40" i="39" s="1"/>
  <c r="B3" i="23"/>
  <c r="C9" i="39" s="1"/>
  <c r="C7" i="22"/>
  <c r="J9" i="37" l="1"/>
  <c r="G19" i="37" s="1"/>
  <c r="H22" i="36"/>
  <c r="B16" i="24"/>
  <c r="C48" i="39" s="1"/>
  <c r="G57" i="38"/>
  <c r="I57" i="38" s="1"/>
  <c r="K57" i="38" s="1"/>
  <c r="M57" i="38" s="1"/>
  <c r="O57" i="38" s="1"/>
  <c r="D176" i="38"/>
  <c r="C11" i="19" s="1"/>
  <c r="E11" i="19" s="1"/>
  <c r="G177" i="38"/>
  <c r="H177" i="38"/>
  <c r="E176" i="38"/>
  <c r="I177" i="38"/>
  <c r="F177" i="38"/>
  <c r="E177" i="38"/>
  <c r="D177" i="38"/>
  <c r="C17" i="19" s="1"/>
  <c r="E17" i="19" s="1"/>
  <c r="H176" i="38"/>
  <c r="G176" i="38"/>
  <c r="F176" i="38"/>
  <c r="I176" i="38"/>
  <c r="B55" i="22"/>
  <c r="C3" i="20"/>
  <c r="D7" i="22"/>
  <c r="C20" i="22" s="1"/>
  <c r="B20" i="22"/>
  <c r="F412" i="36"/>
  <c r="G412" i="36" s="1"/>
  <c r="C21" i="24"/>
  <c r="D53" i="39" s="1"/>
  <c r="D21" i="24"/>
  <c r="E53" i="39" s="1"/>
  <c r="E21" i="24"/>
  <c r="F53" i="39" s="1"/>
  <c r="F21" i="24"/>
  <c r="G53" i="39" s="1"/>
  <c r="B21" i="24"/>
  <c r="F367" i="36"/>
  <c r="F372" i="36" s="1"/>
  <c r="F377" i="36" s="1"/>
  <c r="F382" i="36" s="1"/>
  <c r="F387" i="36" s="1"/>
  <c r="F392" i="36" s="1"/>
  <c r="F397" i="36" s="1"/>
  <c r="F402" i="36" s="1"/>
  <c r="F411" i="36" s="1"/>
  <c r="G362" i="36"/>
  <c r="G367" i="36" s="1"/>
  <c r="G372" i="36" s="1"/>
  <c r="G377" i="36" s="1"/>
  <c r="G382" i="36" s="1"/>
  <c r="G387" i="36" s="1"/>
  <c r="G392" i="36" s="1"/>
  <c r="G397" i="36" s="1"/>
  <c r="G402" i="36" s="1"/>
  <c r="F275" i="36"/>
  <c r="H253" i="36"/>
  <c r="W243" i="36"/>
  <c r="W244" i="36"/>
  <c r="W242" i="36"/>
  <c r="T243" i="36"/>
  <c r="T244" i="36"/>
  <c r="T242" i="36"/>
  <c r="Q243" i="36"/>
  <c r="Q244" i="36"/>
  <c r="Q242" i="36"/>
  <c r="N243" i="36"/>
  <c r="N244" i="36"/>
  <c r="N242" i="36"/>
  <c r="K243" i="36"/>
  <c r="K244" i="36"/>
  <c r="K242" i="36"/>
  <c r="H243" i="36"/>
  <c r="H244" i="36"/>
  <c r="H242" i="36"/>
  <c r="X230" i="36"/>
  <c r="G334" i="36" s="1"/>
  <c r="W231" i="36"/>
  <c r="W232" i="36"/>
  <c r="W233" i="36"/>
  <c r="W234" i="36"/>
  <c r="W235" i="36"/>
  <c r="W236" i="36"/>
  <c r="W230" i="36"/>
  <c r="T231" i="36"/>
  <c r="T232" i="36"/>
  <c r="T233" i="36"/>
  <c r="T234" i="36"/>
  <c r="T235" i="36"/>
  <c r="T236" i="36"/>
  <c r="T230" i="36"/>
  <c r="Q231" i="36"/>
  <c r="Q232" i="36"/>
  <c r="Q233" i="36"/>
  <c r="Q234" i="36"/>
  <c r="Q235" i="36"/>
  <c r="Q236" i="36"/>
  <c r="Q230" i="36"/>
  <c r="N231" i="36"/>
  <c r="N232" i="36"/>
  <c r="N233" i="36"/>
  <c r="N234" i="36"/>
  <c r="N235" i="36"/>
  <c r="N236" i="36"/>
  <c r="N230" i="36"/>
  <c r="K231" i="36"/>
  <c r="K232" i="36"/>
  <c r="K233" i="36"/>
  <c r="K234" i="36"/>
  <c r="K235" i="36"/>
  <c r="K236" i="36"/>
  <c r="K230" i="36"/>
  <c r="H231" i="36"/>
  <c r="H232" i="36"/>
  <c r="H233" i="36"/>
  <c r="H234" i="36"/>
  <c r="H235" i="36"/>
  <c r="H236" i="36"/>
  <c r="H230" i="36"/>
  <c r="X211" i="36"/>
  <c r="W212" i="36"/>
  <c r="W213" i="36"/>
  <c r="W214" i="36"/>
  <c r="W215" i="36"/>
  <c r="W216" i="36"/>
  <c r="W217" i="36"/>
  <c r="W218" i="36"/>
  <c r="W219" i="36"/>
  <c r="W220" i="36"/>
  <c r="W221" i="36"/>
  <c r="W222" i="36"/>
  <c r="W223" i="36"/>
  <c r="W224" i="36"/>
  <c r="W225" i="36"/>
  <c r="W226" i="36"/>
  <c r="W211" i="36"/>
  <c r="T212" i="36"/>
  <c r="T213" i="36"/>
  <c r="T214" i="36"/>
  <c r="T215" i="36"/>
  <c r="T216" i="36"/>
  <c r="T217" i="36"/>
  <c r="T218" i="36"/>
  <c r="T219" i="36"/>
  <c r="T220" i="36"/>
  <c r="T221" i="36"/>
  <c r="T222" i="36"/>
  <c r="T223" i="36"/>
  <c r="T224" i="36"/>
  <c r="T225" i="36"/>
  <c r="T226" i="36"/>
  <c r="T211" i="36"/>
  <c r="Q212" i="36"/>
  <c r="Q213" i="36"/>
  <c r="Q214" i="36"/>
  <c r="Q215" i="36"/>
  <c r="Q216" i="36"/>
  <c r="Q217" i="36"/>
  <c r="Q218" i="36"/>
  <c r="Q219" i="36"/>
  <c r="Q220" i="36"/>
  <c r="Q221" i="36"/>
  <c r="Q222" i="36"/>
  <c r="Q223" i="36"/>
  <c r="Q224" i="36"/>
  <c r="Q225" i="36"/>
  <c r="Q226" i="36"/>
  <c r="Q211" i="36"/>
  <c r="N212" i="36"/>
  <c r="N213" i="36"/>
  <c r="N214" i="36"/>
  <c r="N215" i="36"/>
  <c r="N216" i="36"/>
  <c r="N217" i="36"/>
  <c r="N218" i="36"/>
  <c r="N219" i="36"/>
  <c r="N220" i="36"/>
  <c r="N221" i="36"/>
  <c r="N222" i="36"/>
  <c r="N223" i="36"/>
  <c r="N224" i="36"/>
  <c r="N225" i="36"/>
  <c r="N226" i="36"/>
  <c r="N211" i="36"/>
  <c r="K212" i="36"/>
  <c r="K213" i="36"/>
  <c r="K214" i="36"/>
  <c r="K215" i="36"/>
  <c r="K216" i="36"/>
  <c r="K217" i="36"/>
  <c r="K218" i="36"/>
  <c r="K219" i="36"/>
  <c r="K220" i="36"/>
  <c r="K221" i="36"/>
  <c r="K222" i="36"/>
  <c r="K223" i="36"/>
  <c r="K224" i="36"/>
  <c r="K225" i="36"/>
  <c r="K226" i="36"/>
  <c r="K211" i="36"/>
  <c r="H212" i="36"/>
  <c r="H213" i="36"/>
  <c r="H214" i="36"/>
  <c r="H215" i="36"/>
  <c r="H216" i="36"/>
  <c r="H217" i="36"/>
  <c r="H218" i="36"/>
  <c r="H219" i="36"/>
  <c r="H220" i="36"/>
  <c r="H221" i="36"/>
  <c r="H222" i="36"/>
  <c r="H223" i="36"/>
  <c r="H224" i="36"/>
  <c r="H225" i="36"/>
  <c r="H226" i="36"/>
  <c r="H211" i="36"/>
  <c r="X192" i="36"/>
  <c r="G309" i="36" s="1"/>
  <c r="W193" i="36"/>
  <c r="W194" i="36"/>
  <c r="W195" i="36"/>
  <c r="W196" i="36"/>
  <c r="W197" i="36"/>
  <c r="W198" i="36"/>
  <c r="W199" i="36"/>
  <c r="W200" i="36"/>
  <c r="W201" i="36"/>
  <c r="W202" i="36"/>
  <c r="W203" i="36"/>
  <c r="W204" i="36"/>
  <c r="W205" i="36"/>
  <c r="W206" i="36"/>
  <c r="W207" i="36"/>
  <c r="W192" i="36"/>
  <c r="T193" i="36"/>
  <c r="T194" i="36"/>
  <c r="T195" i="36"/>
  <c r="T196" i="36"/>
  <c r="T197" i="36"/>
  <c r="T198" i="36"/>
  <c r="T199" i="36"/>
  <c r="T200" i="36"/>
  <c r="T201" i="36"/>
  <c r="T202" i="36"/>
  <c r="T203" i="36"/>
  <c r="T204" i="36"/>
  <c r="T205" i="36"/>
  <c r="T206" i="36"/>
  <c r="T207" i="36"/>
  <c r="T192" i="36"/>
  <c r="Q193" i="36"/>
  <c r="Q194" i="36"/>
  <c r="Q195" i="36"/>
  <c r="Q196" i="36"/>
  <c r="Q197" i="36"/>
  <c r="Q198" i="36"/>
  <c r="Q199" i="36"/>
  <c r="Q200" i="36"/>
  <c r="Q201" i="36"/>
  <c r="Q202" i="36"/>
  <c r="Q203" i="36"/>
  <c r="Q204" i="36"/>
  <c r="Q205" i="36"/>
  <c r="Q206" i="36"/>
  <c r="Q207" i="36"/>
  <c r="Q192" i="36"/>
  <c r="N193" i="36"/>
  <c r="N194" i="36"/>
  <c r="N195" i="36"/>
  <c r="N196" i="36"/>
  <c r="N197" i="36"/>
  <c r="N198" i="36"/>
  <c r="N199" i="36"/>
  <c r="N200" i="36"/>
  <c r="N201" i="36"/>
  <c r="N202" i="36"/>
  <c r="N203" i="36"/>
  <c r="N204" i="36"/>
  <c r="N205" i="36"/>
  <c r="N206" i="36"/>
  <c r="N207" i="36"/>
  <c r="N192" i="36"/>
  <c r="K193" i="36"/>
  <c r="K194" i="36"/>
  <c r="K195" i="36"/>
  <c r="K196" i="36"/>
  <c r="K197" i="36"/>
  <c r="K198" i="36"/>
  <c r="K199" i="36"/>
  <c r="K200" i="36"/>
  <c r="K201" i="36"/>
  <c r="K202" i="36"/>
  <c r="K203" i="36"/>
  <c r="K204" i="36"/>
  <c r="K205" i="36"/>
  <c r="K206" i="36"/>
  <c r="K207" i="36"/>
  <c r="K192" i="36"/>
  <c r="H193" i="36"/>
  <c r="H194" i="36"/>
  <c r="H195" i="36"/>
  <c r="H196" i="36"/>
  <c r="H197" i="36"/>
  <c r="H198" i="36"/>
  <c r="H199" i="36"/>
  <c r="H200" i="36"/>
  <c r="H201" i="36"/>
  <c r="H202" i="36"/>
  <c r="H203" i="36"/>
  <c r="H204" i="36"/>
  <c r="H205" i="36"/>
  <c r="H206" i="36"/>
  <c r="H207" i="36"/>
  <c r="H192" i="36"/>
  <c r="X153" i="36"/>
  <c r="G350" i="36" s="1"/>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53" i="36"/>
  <c r="T154" i="36"/>
  <c r="T155" i="36"/>
  <c r="T156" i="36"/>
  <c r="T157" i="36"/>
  <c r="T158" i="36"/>
  <c r="T159" i="36"/>
  <c r="T160" i="36"/>
  <c r="T161" i="36"/>
  <c r="T162" i="36"/>
  <c r="T163" i="36"/>
  <c r="T164" i="36"/>
  <c r="T165" i="36"/>
  <c r="T166" i="36"/>
  <c r="T167" i="36"/>
  <c r="T168" i="36"/>
  <c r="T169" i="36"/>
  <c r="T170" i="36"/>
  <c r="T171" i="36"/>
  <c r="T172" i="36"/>
  <c r="T173" i="36"/>
  <c r="T174" i="36"/>
  <c r="T175" i="36"/>
  <c r="T176" i="36"/>
  <c r="T177" i="36"/>
  <c r="T153" i="36"/>
  <c r="Q154" i="36"/>
  <c r="Q155" i="36"/>
  <c r="Q156" i="36"/>
  <c r="Q157" i="36"/>
  <c r="Q158" i="36"/>
  <c r="Q159" i="36"/>
  <c r="Q160" i="36"/>
  <c r="Q161" i="36"/>
  <c r="Q162" i="36"/>
  <c r="Q163" i="36"/>
  <c r="Q164" i="36"/>
  <c r="Q165" i="36"/>
  <c r="Q166" i="36"/>
  <c r="Q167" i="36"/>
  <c r="Q168" i="36"/>
  <c r="Q169" i="36"/>
  <c r="Q170" i="36"/>
  <c r="Q171" i="36"/>
  <c r="Q172" i="36"/>
  <c r="Q173" i="36"/>
  <c r="Q174" i="36"/>
  <c r="Q175" i="36"/>
  <c r="Q176" i="36"/>
  <c r="Q177" i="36"/>
  <c r="Q153" i="36"/>
  <c r="N154" i="36"/>
  <c r="N155" i="36"/>
  <c r="N156" i="36"/>
  <c r="N157" i="36"/>
  <c r="N158" i="36"/>
  <c r="N159" i="36"/>
  <c r="N160" i="36"/>
  <c r="N161" i="36"/>
  <c r="N162" i="36"/>
  <c r="N163" i="36"/>
  <c r="N164" i="36"/>
  <c r="N165" i="36"/>
  <c r="N166" i="36"/>
  <c r="N167" i="36"/>
  <c r="N168" i="36"/>
  <c r="N169" i="36"/>
  <c r="N170" i="36"/>
  <c r="N171" i="36"/>
  <c r="N172" i="36"/>
  <c r="N173" i="36"/>
  <c r="N174" i="36"/>
  <c r="N175" i="36"/>
  <c r="N176" i="36"/>
  <c r="N177" i="36"/>
  <c r="N153" i="36"/>
  <c r="K154" i="36"/>
  <c r="K155" i="36"/>
  <c r="K156" i="36"/>
  <c r="K157" i="36"/>
  <c r="K158" i="36"/>
  <c r="K159" i="36"/>
  <c r="K160" i="36"/>
  <c r="K161" i="36"/>
  <c r="K162" i="36"/>
  <c r="K163" i="36"/>
  <c r="K164" i="36"/>
  <c r="K165" i="36"/>
  <c r="K166" i="36"/>
  <c r="K167" i="36"/>
  <c r="K168" i="36"/>
  <c r="K169" i="36"/>
  <c r="K170" i="36"/>
  <c r="K171" i="36"/>
  <c r="K172" i="36"/>
  <c r="K173" i="36"/>
  <c r="K174" i="36"/>
  <c r="K175" i="36"/>
  <c r="K176" i="36"/>
  <c r="K177" i="36"/>
  <c r="K153" i="36"/>
  <c r="H154" i="36"/>
  <c r="H155" i="36"/>
  <c r="H156" i="36"/>
  <c r="H157" i="36"/>
  <c r="H158" i="36"/>
  <c r="H159" i="36"/>
  <c r="H160" i="36"/>
  <c r="H161" i="36"/>
  <c r="H162" i="36"/>
  <c r="H163" i="36"/>
  <c r="H164" i="36"/>
  <c r="H165" i="36"/>
  <c r="H166" i="36"/>
  <c r="H167" i="36"/>
  <c r="H168" i="36"/>
  <c r="H169" i="36"/>
  <c r="H170" i="36"/>
  <c r="H171" i="36"/>
  <c r="H172" i="36"/>
  <c r="H173" i="36"/>
  <c r="H174" i="36"/>
  <c r="H175" i="36"/>
  <c r="H176" i="36"/>
  <c r="H177" i="36"/>
  <c r="H153" i="36"/>
  <c r="X143" i="36"/>
  <c r="G304" i="36" s="1"/>
  <c r="W144" i="36"/>
  <c r="W145" i="36"/>
  <c r="W146" i="36"/>
  <c r="W147" i="36"/>
  <c r="W148" i="36"/>
  <c r="W149" i="36"/>
  <c r="W143" i="36"/>
  <c r="T144" i="36"/>
  <c r="T145" i="36"/>
  <c r="T146" i="36"/>
  <c r="T147" i="36"/>
  <c r="T148" i="36"/>
  <c r="T149" i="36"/>
  <c r="T143" i="36"/>
  <c r="Q144" i="36"/>
  <c r="Q145" i="36"/>
  <c r="Q146" i="36"/>
  <c r="Q147" i="36"/>
  <c r="Q148" i="36"/>
  <c r="Q149" i="36"/>
  <c r="Q143" i="36"/>
  <c r="N144" i="36"/>
  <c r="N145" i="36"/>
  <c r="N146" i="36"/>
  <c r="N147" i="36"/>
  <c r="N148" i="36"/>
  <c r="N149" i="36"/>
  <c r="N143" i="36"/>
  <c r="K144" i="36"/>
  <c r="K145" i="36"/>
  <c r="K146" i="36"/>
  <c r="K147" i="36"/>
  <c r="K148" i="36"/>
  <c r="K149" i="36"/>
  <c r="K143" i="36"/>
  <c r="H144" i="36"/>
  <c r="H145" i="36"/>
  <c r="H146" i="36"/>
  <c r="H147" i="36"/>
  <c r="H148" i="36"/>
  <c r="H149" i="36"/>
  <c r="H143" i="36"/>
  <c r="X90" i="36"/>
  <c r="G324" i="36" s="1"/>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90" i="36"/>
  <c r="T91" i="36"/>
  <c r="T92" i="36"/>
  <c r="T93" i="36"/>
  <c r="T94" i="36"/>
  <c r="T95" i="36"/>
  <c r="T96" i="36"/>
  <c r="T97" i="36"/>
  <c r="T98" i="36"/>
  <c r="T99" i="36"/>
  <c r="T100" i="36"/>
  <c r="T101" i="36"/>
  <c r="T102" i="36"/>
  <c r="T103" i="36"/>
  <c r="T104" i="36"/>
  <c r="T105" i="36"/>
  <c r="T106" i="36"/>
  <c r="T107" i="36"/>
  <c r="T108" i="36"/>
  <c r="T109" i="36"/>
  <c r="T110" i="36"/>
  <c r="T111" i="36"/>
  <c r="T112" i="36"/>
  <c r="T113" i="36"/>
  <c r="T114" i="36"/>
  <c r="T115" i="36"/>
  <c r="T116" i="36"/>
  <c r="T117" i="36"/>
  <c r="T118" i="36"/>
  <c r="T119" i="36"/>
  <c r="T120" i="36"/>
  <c r="T121" i="36"/>
  <c r="T122" i="36"/>
  <c r="T123" i="36"/>
  <c r="T124" i="36"/>
  <c r="T125" i="36"/>
  <c r="T126" i="36"/>
  <c r="T127" i="36"/>
  <c r="T128" i="36"/>
  <c r="T129" i="36"/>
  <c r="T130" i="36"/>
  <c r="T131" i="36"/>
  <c r="T132" i="36"/>
  <c r="T133" i="36"/>
  <c r="T134" i="36"/>
  <c r="T135" i="36"/>
  <c r="T136" i="36"/>
  <c r="T137" i="36"/>
  <c r="T138" i="36"/>
  <c r="T139" i="36"/>
  <c r="T90" i="36"/>
  <c r="Q91" i="36"/>
  <c r="Q92" i="36"/>
  <c r="Q93" i="36"/>
  <c r="Q94" i="36"/>
  <c r="Q95" i="36"/>
  <c r="Q96" i="36"/>
  <c r="Q97" i="36"/>
  <c r="Q98" i="36"/>
  <c r="Q99" i="36"/>
  <c r="Q100" i="36"/>
  <c r="Q101" i="36"/>
  <c r="Q102" i="36"/>
  <c r="Q103" i="36"/>
  <c r="Q104" i="36"/>
  <c r="Q105" i="36"/>
  <c r="Q106" i="36"/>
  <c r="Q107" i="36"/>
  <c r="Q108" i="36"/>
  <c r="Q109" i="36"/>
  <c r="Q110" i="36"/>
  <c r="Q111" i="36"/>
  <c r="Q112" i="36"/>
  <c r="Q113" i="36"/>
  <c r="Q114" i="36"/>
  <c r="Q115" i="36"/>
  <c r="Q116" i="36"/>
  <c r="Q117" i="36"/>
  <c r="Q118" i="36"/>
  <c r="Q119" i="36"/>
  <c r="Q120" i="36"/>
  <c r="Q121" i="36"/>
  <c r="Q122" i="36"/>
  <c r="Q123" i="36"/>
  <c r="Q124" i="36"/>
  <c r="Q125" i="36"/>
  <c r="Q126" i="36"/>
  <c r="Q127" i="36"/>
  <c r="Q128" i="36"/>
  <c r="Q129" i="36"/>
  <c r="Q130" i="36"/>
  <c r="Q131" i="36"/>
  <c r="Q132" i="36"/>
  <c r="Q133" i="36"/>
  <c r="Q134" i="36"/>
  <c r="Q135" i="36"/>
  <c r="Q136" i="36"/>
  <c r="Q137" i="36"/>
  <c r="Q138" i="36"/>
  <c r="Q139" i="36"/>
  <c r="Q90" i="36"/>
  <c r="N91" i="36"/>
  <c r="N92" i="36"/>
  <c r="N93" i="36"/>
  <c r="N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90" i="36"/>
  <c r="K91" i="36"/>
  <c r="K92" i="36"/>
  <c r="K93" i="36"/>
  <c r="K94" i="36"/>
  <c r="K95" i="36"/>
  <c r="K96" i="36"/>
  <c r="K97" i="36"/>
  <c r="K98" i="36"/>
  <c r="K99" i="36"/>
  <c r="K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90" i="36"/>
  <c r="H91" i="36"/>
  <c r="H92" i="36"/>
  <c r="H93" i="36"/>
  <c r="H94" i="36"/>
  <c r="H95" i="36"/>
  <c r="H96" i="36"/>
  <c r="H97" i="36"/>
  <c r="H98" i="36"/>
  <c r="H99" i="36"/>
  <c r="H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90" i="36"/>
  <c r="X47" i="36"/>
  <c r="X37" i="36"/>
  <c r="G254" i="36" s="1"/>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47" i="36"/>
  <c r="T48" i="36"/>
  <c r="T49" i="36"/>
  <c r="T50" i="36"/>
  <c r="T51" i="36"/>
  <c r="T52" i="36"/>
  <c r="T53" i="36"/>
  <c r="T54" i="36"/>
  <c r="T55" i="36"/>
  <c r="T56" i="36"/>
  <c r="T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47" i="36"/>
  <c r="Q48" i="36"/>
  <c r="Q49" i="36"/>
  <c r="Q50" i="36"/>
  <c r="Q51" i="36"/>
  <c r="Q52" i="36"/>
  <c r="Q53" i="36"/>
  <c r="Q54" i="36"/>
  <c r="Q55" i="36"/>
  <c r="Q56" i="36"/>
  <c r="Q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47" i="36"/>
  <c r="N48" i="36"/>
  <c r="N49" i="36"/>
  <c r="N50" i="36"/>
  <c r="N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47" i="36"/>
  <c r="K48" i="36"/>
  <c r="K49" i="36"/>
  <c r="K50" i="36"/>
  <c r="K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47" i="36"/>
  <c r="W38" i="36"/>
  <c r="W39" i="36"/>
  <c r="W40" i="36"/>
  <c r="W41" i="36"/>
  <c r="W42" i="36"/>
  <c r="W43" i="36"/>
  <c r="W37" i="36"/>
  <c r="T38" i="36"/>
  <c r="T39" i="36"/>
  <c r="T40" i="36"/>
  <c r="T41" i="36"/>
  <c r="T42" i="36"/>
  <c r="T43" i="36"/>
  <c r="T37" i="36"/>
  <c r="Q38" i="36"/>
  <c r="Q39" i="36"/>
  <c r="Q40" i="36"/>
  <c r="Q41" i="36"/>
  <c r="Q42" i="36"/>
  <c r="Q43" i="36"/>
  <c r="Q37" i="36"/>
  <c r="N38" i="36"/>
  <c r="N39" i="36"/>
  <c r="N40" i="36"/>
  <c r="N41" i="36"/>
  <c r="N42" i="36"/>
  <c r="N43" i="36"/>
  <c r="N37" i="36"/>
  <c r="K38" i="36"/>
  <c r="K39" i="36"/>
  <c r="K40" i="36"/>
  <c r="K41" i="36"/>
  <c r="K42" i="36"/>
  <c r="K43" i="36"/>
  <c r="K37" i="36"/>
  <c r="H38" i="36"/>
  <c r="H39" i="36"/>
  <c r="H40" i="36"/>
  <c r="H41" i="36"/>
  <c r="H42" i="36"/>
  <c r="H43" i="36"/>
  <c r="H37" i="36"/>
  <c r="I35" i="36"/>
  <c r="G31" i="36"/>
  <c r="F20" i="36"/>
  <c r="F7" i="36"/>
  <c r="P57" i="38" l="1"/>
  <c r="C53" i="39"/>
  <c r="Q245" i="36"/>
  <c r="F336" i="36" s="1"/>
  <c r="W87" i="36"/>
  <c r="F23" i="24" s="1"/>
  <c r="G55" i="39" s="1"/>
  <c r="K140" i="36"/>
  <c r="B24" i="24" s="1"/>
  <c r="C56" i="39" s="1"/>
  <c r="Q140" i="36"/>
  <c r="F324" i="36" s="1"/>
  <c r="W140" i="36"/>
  <c r="F24" i="24" s="1"/>
  <c r="G56" i="39" s="1"/>
  <c r="X91" i="36"/>
  <c r="X92" i="36" s="1"/>
  <c r="X93" i="36" s="1"/>
  <c r="X94" i="36" s="1"/>
  <c r="X95" i="36" s="1"/>
  <c r="X96" i="36" s="1"/>
  <c r="X97" i="36" s="1"/>
  <c r="X98" i="36" s="1"/>
  <c r="X99" i="36" s="1"/>
  <c r="X100" i="36" s="1"/>
  <c r="X101" i="36" s="1"/>
  <c r="X102" i="36" s="1"/>
  <c r="X103" i="36" s="1"/>
  <c r="X104" i="36" s="1"/>
  <c r="X105" i="36" s="1"/>
  <c r="X106" i="36" s="1"/>
  <c r="X107" i="36" s="1"/>
  <c r="X108" i="36" s="1"/>
  <c r="X109" i="36" s="1"/>
  <c r="X110" i="36" s="1"/>
  <c r="X111" i="36" s="1"/>
  <c r="X112" i="36" s="1"/>
  <c r="X113" i="36" s="1"/>
  <c r="X114" i="36" s="1"/>
  <c r="X115" i="36" s="1"/>
  <c r="X116" i="36" s="1"/>
  <c r="X117" i="36" s="1"/>
  <c r="X118" i="36" s="1"/>
  <c r="X119" i="36" s="1"/>
  <c r="X120" i="36" s="1"/>
  <c r="X121" i="36" s="1"/>
  <c r="X122" i="36" s="1"/>
  <c r="X123" i="36" s="1"/>
  <c r="X124" i="36" s="1"/>
  <c r="X125" i="36" s="1"/>
  <c r="X126" i="36" s="1"/>
  <c r="X127" i="36" s="1"/>
  <c r="X128" i="36" s="1"/>
  <c r="X129" i="36" s="1"/>
  <c r="X130" i="36" s="1"/>
  <c r="X131" i="36" s="1"/>
  <c r="X132" i="36" s="1"/>
  <c r="X133" i="36" s="1"/>
  <c r="X134" i="36" s="1"/>
  <c r="X135" i="36" s="1"/>
  <c r="X136" i="36" s="1"/>
  <c r="X137" i="36" s="1"/>
  <c r="X138" i="36" s="1"/>
  <c r="X139" i="36" s="1"/>
  <c r="H227" i="36"/>
  <c r="F266" i="36" s="1"/>
  <c r="F393" i="36" s="1"/>
  <c r="B49" i="22" s="1"/>
  <c r="B51" i="22" s="1"/>
  <c r="N227" i="36"/>
  <c r="C28" i="24" s="1"/>
  <c r="D60" i="39" s="1"/>
  <c r="T227" i="36"/>
  <c r="E28" i="24" s="1"/>
  <c r="F60" i="39" s="1"/>
  <c r="W227" i="36"/>
  <c r="F28" i="24" s="1"/>
  <c r="G60" i="39" s="1"/>
  <c r="K237" i="36"/>
  <c r="T87" i="36"/>
  <c r="E23" i="24" s="1"/>
  <c r="F55" i="39" s="1"/>
  <c r="K150" i="36"/>
  <c r="B25" i="24" s="1"/>
  <c r="C57" i="39" s="1"/>
  <c r="W150" i="36"/>
  <c r="F25" i="24" s="1"/>
  <c r="G57" i="39" s="1"/>
  <c r="Q178" i="36"/>
  <c r="D26" i="24" s="1"/>
  <c r="E58" i="39" s="1"/>
  <c r="K208" i="36"/>
  <c r="B27" i="24" s="1"/>
  <c r="C59" i="39" s="1"/>
  <c r="Q208" i="36"/>
  <c r="D27" i="24" s="1"/>
  <c r="E59" i="39" s="1"/>
  <c r="W208" i="36"/>
  <c r="F27" i="24" s="1"/>
  <c r="G59" i="39" s="1"/>
  <c r="N237" i="36"/>
  <c r="F312" i="36" s="1"/>
  <c r="H140" i="36"/>
  <c r="F258" i="36" s="1"/>
  <c r="F373" i="36" s="1"/>
  <c r="B37" i="22" s="1"/>
  <c r="K178" i="36"/>
  <c r="B26" i="24" s="1"/>
  <c r="C58" i="39" s="1"/>
  <c r="N178" i="36"/>
  <c r="C26" i="24" s="1"/>
  <c r="D58" i="39" s="1"/>
  <c r="Q44" i="36"/>
  <c r="D22" i="24" s="1"/>
  <c r="E54" i="39" s="1"/>
  <c r="W178" i="36"/>
  <c r="F26" i="24" s="1"/>
  <c r="G58" i="39" s="1"/>
  <c r="K87" i="36"/>
  <c r="B23" i="24" s="1"/>
  <c r="C55" i="39" s="1"/>
  <c r="Q87" i="36"/>
  <c r="F322" i="36" s="1"/>
  <c r="N150" i="36"/>
  <c r="F304" i="36" s="1"/>
  <c r="H178" i="36"/>
  <c r="F262" i="36" s="1"/>
  <c r="F383" i="36" s="1"/>
  <c r="B43" i="22" s="1"/>
  <c r="T178" i="36"/>
  <c r="F350" i="36" s="1"/>
  <c r="H350" i="36" s="1"/>
  <c r="H351" i="36" s="1"/>
  <c r="X154" i="36"/>
  <c r="X155" i="36" s="1"/>
  <c r="X156" i="36" s="1"/>
  <c r="X157" i="36" s="1"/>
  <c r="X158" i="36" s="1"/>
  <c r="X159" i="36" s="1"/>
  <c r="X160" i="36" s="1"/>
  <c r="X161" i="36" s="1"/>
  <c r="X162" i="36" s="1"/>
  <c r="X163" i="36" s="1"/>
  <c r="X164" i="36" s="1"/>
  <c r="X165" i="36" s="1"/>
  <c r="X166" i="36" s="1"/>
  <c r="X167" i="36" s="1"/>
  <c r="X168" i="36" s="1"/>
  <c r="X169" i="36" s="1"/>
  <c r="X170" i="36" s="1"/>
  <c r="X171" i="36" s="1"/>
  <c r="X172" i="36" s="1"/>
  <c r="X173" i="36" s="1"/>
  <c r="X174" i="36" s="1"/>
  <c r="X175" i="36" s="1"/>
  <c r="X176" i="36" s="1"/>
  <c r="X177" i="36" s="1"/>
  <c r="N245" i="36"/>
  <c r="F314" i="36" s="1"/>
  <c r="G344" i="36"/>
  <c r="X48" i="36"/>
  <c r="X49" i="36" s="1"/>
  <c r="X50" i="36" s="1"/>
  <c r="X51" i="36" s="1"/>
  <c r="X52" i="36" s="1"/>
  <c r="X53" i="36" s="1"/>
  <c r="X54" i="36" s="1"/>
  <c r="X55" i="36" s="1"/>
  <c r="X56" i="36" s="1"/>
  <c r="X57" i="36" s="1"/>
  <c r="X58" i="36" s="1"/>
  <c r="X59" i="36" s="1"/>
  <c r="X60" i="36" s="1"/>
  <c r="X61" i="36" s="1"/>
  <c r="X62" i="36" s="1"/>
  <c r="X63" i="36" s="1"/>
  <c r="X64" i="36" s="1"/>
  <c r="X65" i="36" s="1"/>
  <c r="X66" i="36" s="1"/>
  <c r="X67" i="36" s="1"/>
  <c r="X68" i="36" s="1"/>
  <c r="X69" i="36" s="1"/>
  <c r="X70" i="36" s="1"/>
  <c r="X71" i="36" s="1"/>
  <c r="X72" i="36" s="1"/>
  <c r="X73" i="36" s="1"/>
  <c r="X74" i="36" s="1"/>
  <c r="X75" i="36" s="1"/>
  <c r="X76" i="36" s="1"/>
  <c r="X77" i="36" s="1"/>
  <c r="X78" i="36" s="1"/>
  <c r="X79" i="36" s="1"/>
  <c r="X80" i="36" s="1"/>
  <c r="X81" i="36" s="1"/>
  <c r="X82" i="36" s="1"/>
  <c r="X83" i="36" s="1"/>
  <c r="X84" i="36" s="1"/>
  <c r="X85" i="36" s="1"/>
  <c r="X86" i="36" s="1"/>
  <c r="T140" i="36"/>
  <c r="G332" i="36"/>
  <c r="X212" i="36"/>
  <c r="X213" i="36" s="1"/>
  <c r="X214" i="36" s="1"/>
  <c r="X215" i="36" s="1"/>
  <c r="X216" i="36" s="1"/>
  <c r="X217" i="36" s="1"/>
  <c r="X218" i="36" s="1"/>
  <c r="X219" i="36" s="1"/>
  <c r="X220" i="36" s="1"/>
  <c r="X221" i="36" s="1"/>
  <c r="X222" i="36" s="1"/>
  <c r="X223" i="36" s="1"/>
  <c r="X224" i="36" s="1"/>
  <c r="X225" i="36" s="1"/>
  <c r="X226" i="36" s="1"/>
  <c r="H87" i="36"/>
  <c r="F256" i="36" s="1"/>
  <c r="F368" i="36" s="1"/>
  <c r="H150" i="36"/>
  <c r="F260" i="36" s="1"/>
  <c r="F378" i="36" s="1"/>
  <c r="B40" i="22" s="1"/>
  <c r="T150" i="36"/>
  <c r="H208" i="36"/>
  <c r="H237" i="36"/>
  <c r="W237" i="36"/>
  <c r="K245" i="36"/>
  <c r="W245" i="36"/>
  <c r="N140" i="36"/>
  <c r="K44" i="36"/>
  <c r="W44" i="36"/>
  <c r="N87" i="36"/>
  <c r="Q150" i="36"/>
  <c r="N208" i="36"/>
  <c r="K227" i="36"/>
  <c r="Q237" i="36"/>
  <c r="F334" i="36" s="1"/>
  <c r="H334" i="36" s="1"/>
  <c r="H245" i="36"/>
  <c r="H247" i="36" s="1"/>
  <c r="F270" i="36" s="1"/>
  <c r="F403" i="36" s="1"/>
  <c r="T245" i="36"/>
  <c r="T208" i="36"/>
  <c r="Q227" i="36"/>
  <c r="D29" i="24"/>
  <c r="E61" i="39" s="1"/>
  <c r="H412" i="36"/>
  <c r="I412" i="36" s="1"/>
  <c r="C30" i="22"/>
  <c r="B30" i="22"/>
  <c r="H44" i="36"/>
  <c r="N44" i="36"/>
  <c r="T44" i="36"/>
  <c r="G11" i="36"/>
  <c r="X38" i="36"/>
  <c r="X39" i="36" s="1"/>
  <c r="X40" i="36" s="1"/>
  <c r="X41" i="36" s="1"/>
  <c r="X42" i="36" s="1"/>
  <c r="X43" i="36" s="1"/>
  <c r="X193" i="36"/>
  <c r="X194" i="36" s="1"/>
  <c r="X195" i="36" s="1"/>
  <c r="X196" i="36" s="1"/>
  <c r="X197" i="36" s="1"/>
  <c r="X198" i="36" s="1"/>
  <c r="X199" i="36" s="1"/>
  <c r="X200" i="36" s="1"/>
  <c r="X201" i="36" s="1"/>
  <c r="X202" i="36" s="1"/>
  <c r="X203" i="36" s="1"/>
  <c r="X204" i="36" s="1"/>
  <c r="X205" i="36" s="1"/>
  <c r="X206" i="36" s="1"/>
  <c r="X207" i="36" s="1"/>
  <c r="G258" i="36"/>
  <c r="G266" i="36"/>
  <c r="G276" i="36"/>
  <c r="G284" i="36"/>
  <c r="G326" i="36"/>
  <c r="G346" i="36"/>
  <c r="G348" i="36"/>
  <c r="G256" i="36"/>
  <c r="G265" i="36"/>
  <c r="G278" i="36"/>
  <c r="G287" i="36"/>
  <c r="G298" i="36"/>
  <c r="G302" i="36"/>
  <c r="G306" i="36"/>
  <c r="G310" i="36"/>
  <c r="G320" i="36"/>
  <c r="G322" i="36"/>
  <c r="G328" i="36"/>
  <c r="G342" i="36"/>
  <c r="G353" i="36"/>
  <c r="G354" i="36"/>
  <c r="G268" i="36"/>
  <c r="G280" i="36"/>
  <c r="G288" i="36"/>
  <c r="G331" i="36"/>
  <c r="G356" i="36"/>
  <c r="X144" i="36"/>
  <c r="X145" i="36" s="1"/>
  <c r="X146" i="36" s="1"/>
  <c r="X147" i="36" s="1"/>
  <c r="X148" i="36" s="1"/>
  <c r="X149" i="36" s="1"/>
  <c r="X231" i="36"/>
  <c r="X232" i="36" s="1"/>
  <c r="X233" i="36" s="1"/>
  <c r="X234" i="36" s="1"/>
  <c r="X235" i="36" s="1"/>
  <c r="X236" i="36" s="1"/>
  <c r="X242" i="36" s="1"/>
  <c r="G11" i="37"/>
  <c r="G260" i="36"/>
  <c r="G262" i="36"/>
  <c r="G282" i="36"/>
  <c r="G290" i="36"/>
  <c r="G300" i="36"/>
  <c r="G312" i="36"/>
  <c r="G411" i="36"/>
  <c r="G407" i="36"/>
  <c r="T237" i="36"/>
  <c r="F356" i="36" s="1"/>
  <c r="Y57" i="38" l="1"/>
  <c r="OT57" i="38" s="1"/>
  <c r="J188" i="38" s="1"/>
  <c r="Y188" i="38" s="1"/>
  <c r="W57" i="38"/>
  <c r="OR57" i="38" s="1"/>
  <c r="H188" i="38" s="1"/>
  <c r="W188" i="38" s="1"/>
  <c r="U57" i="38"/>
  <c r="U68" i="38" s="1"/>
  <c r="D175" i="38" s="1"/>
  <c r="C14" i="19" s="1"/>
  <c r="E14" i="19" s="1"/>
  <c r="X57" i="38"/>
  <c r="OS57" i="38" s="1"/>
  <c r="I188" i="38" s="1"/>
  <c r="X188" i="38" s="1"/>
  <c r="V57" i="38"/>
  <c r="V68" i="38" s="1"/>
  <c r="E175" i="38" s="1"/>
  <c r="E178" i="38" s="1"/>
  <c r="K9" i="37"/>
  <c r="Y68" i="38"/>
  <c r="I175" i="38" s="1"/>
  <c r="I178" i="38" s="1"/>
  <c r="F280" i="36"/>
  <c r="I280" i="36" s="1"/>
  <c r="E26" i="24"/>
  <c r="F58" i="39" s="1"/>
  <c r="F284" i="36"/>
  <c r="I284" i="36" s="1"/>
  <c r="W239" i="36"/>
  <c r="Q247" i="36"/>
  <c r="F331" i="36"/>
  <c r="I331" i="36" s="1"/>
  <c r="F320" i="36"/>
  <c r="I320" i="36" s="1"/>
  <c r="C29" i="24"/>
  <c r="D61" i="39" s="1"/>
  <c r="F328" i="36"/>
  <c r="I328" i="36" s="1"/>
  <c r="H324" i="36"/>
  <c r="I324" i="36"/>
  <c r="D24" i="24"/>
  <c r="E56" i="39" s="1"/>
  <c r="F310" i="36"/>
  <c r="J310" i="36" s="1"/>
  <c r="F344" i="36"/>
  <c r="H344" i="36" s="1"/>
  <c r="H345" i="36" s="1"/>
  <c r="D30" i="22"/>
  <c r="F287" i="36"/>
  <c r="K287" i="36" s="1"/>
  <c r="I334" i="36"/>
  <c r="J334" i="36" s="1"/>
  <c r="F306" i="36"/>
  <c r="J306" i="36" s="1"/>
  <c r="Q239" i="36"/>
  <c r="F282" i="36"/>
  <c r="G378" i="36" s="1"/>
  <c r="H378" i="36" s="1"/>
  <c r="F354" i="36"/>
  <c r="H354" i="36" s="1"/>
  <c r="H355" i="36" s="1"/>
  <c r="D23" i="24"/>
  <c r="E55" i="39" s="1"/>
  <c r="F278" i="36"/>
  <c r="I278" i="36" s="1"/>
  <c r="J304" i="36"/>
  <c r="I304" i="36"/>
  <c r="N247" i="36"/>
  <c r="C25" i="24"/>
  <c r="D57" i="39" s="1"/>
  <c r="Q180" i="36"/>
  <c r="H304" i="36"/>
  <c r="H305" i="36" s="1"/>
  <c r="C22" i="24"/>
  <c r="D54" i="39" s="1"/>
  <c r="N180" i="36"/>
  <c r="F298" i="36"/>
  <c r="J298" i="36" s="1"/>
  <c r="F353" i="36"/>
  <c r="H353" i="36" s="1"/>
  <c r="I353" i="36" s="1"/>
  <c r="E27" i="24"/>
  <c r="F59" i="39" s="1"/>
  <c r="T239" i="36"/>
  <c r="F300" i="36"/>
  <c r="J300" i="36" s="1"/>
  <c r="C23" i="24"/>
  <c r="D55" i="39" s="1"/>
  <c r="F29" i="24"/>
  <c r="G61" i="39" s="1"/>
  <c r="W247" i="36"/>
  <c r="F265" i="36"/>
  <c r="F388" i="36" s="1"/>
  <c r="H239" i="36"/>
  <c r="E24" i="24"/>
  <c r="F56" i="39" s="1"/>
  <c r="F346" i="36"/>
  <c r="H346" i="36" s="1"/>
  <c r="H347" i="36" s="1"/>
  <c r="B54" i="22"/>
  <c r="B56" i="22" s="1"/>
  <c r="B34" i="22"/>
  <c r="B36" i="22" s="1"/>
  <c r="F254" i="36"/>
  <c r="H180" i="36"/>
  <c r="B28" i="24"/>
  <c r="C60" i="39" s="1"/>
  <c r="F288" i="36"/>
  <c r="G393" i="36" s="1"/>
  <c r="C49" i="22" s="1"/>
  <c r="F22" i="24"/>
  <c r="G54" i="39" s="1"/>
  <c r="G62" i="39" s="1"/>
  <c r="W180" i="36"/>
  <c r="C24" i="24"/>
  <c r="D56" i="39" s="1"/>
  <c r="F302" i="36"/>
  <c r="I302" i="36" s="1"/>
  <c r="B29" i="24"/>
  <c r="C61" i="39" s="1"/>
  <c r="K247" i="36"/>
  <c r="F292" i="36"/>
  <c r="G403" i="36" s="1"/>
  <c r="E25" i="24"/>
  <c r="F57" i="39" s="1"/>
  <c r="F348" i="36"/>
  <c r="H348" i="36" s="1"/>
  <c r="E22" i="24"/>
  <c r="F54" i="39" s="1"/>
  <c r="F342" i="36"/>
  <c r="T180" i="36"/>
  <c r="D28" i="24"/>
  <c r="E60" i="39" s="1"/>
  <c r="F332" i="36"/>
  <c r="D25" i="24"/>
  <c r="E57" i="39" s="1"/>
  <c r="F326" i="36"/>
  <c r="D8" i="19"/>
  <c r="F268" i="36"/>
  <c r="F398" i="36" s="1"/>
  <c r="H356" i="36"/>
  <c r="H357" i="36" s="1"/>
  <c r="I350" i="36"/>
  <c r="E29" i="24"/>
  <c r="F61" i="39" s="1"/>
  <c r="F358" i="36"/>
  <c r="T247" i="36"/>
  <c r="F309" i="36"/>
  <c r="C27" i="24"/>
  <c r="D59" i="39" s="1"/>
  <c r="N239" i="36"/>
  <c r="B22" i="24"/>
  <c r="F276" i="36"/>
  <c r="K276" i="36" s="1"/>
  <c r="K180" i="36"/>
  <c r="K239" i="36"/>
  <c r="F290" i="36" s="1"/>
  <c r="K290" i="36" s="1"/>
  <c r="B4" i="23"/>
  <c r="C10" i="39" s="1"/>
  <c r="O9" i="39" s="1"/>
  <c r="I322" i="36"/>
  <c r="H322" i="36"/>
  <c r="H335" i="36"/>
  <c r="K282" i="36"/>
  <c r="G358" i="36"/>
  <c r="G336" i="36"/>
  <c r="G314" i="36"/>
  <c r="G270" i="36"/>
  <c r="G292" i="36"/>
  <c r="X243" i="36"/>
  <c r="X244" i="36" s="1"/>
  <c r="L256" i="36"/>
  <c r="I256" i="36"/>
  <c r="H256" i="36"/>
  <c r="J256" i="36"/>
  <c r="K256" i="36"/>
  <c r="I312" i="36"/>
  <c r="J312" i="36"/>
  <c r="H312" i="36"/>
  <c r="H313" i="36" s="1"/>
  <c r="J262" i="36"/>
  <c r="K262" i="36"/>
  <c r="L262" i="36"/>
  <c r="I262" i="36"/>
  <c r="H262" i="36"/>
  <c r="K258" i="36"/>
  <c r="L258" i="36"/>
  <c r="I258" i="36"/>
  <c r="H258" i="36"/>
  <c r="J258" i="36"/>
  <c r="J260" i="36"/>
  <c r="K260" i="36"/>
  <c r="L260" i="36"/>
  <c r="I260" i="36"/>
  <c r="H260" i="36"/>
  <c r="K266" i="36"/>
  <c r="L266" i="36"/>
  <c r="I266" i="36"/>
  <c r="H266" i="36"/>
  <c r="J266" i="36"/>
  <c r="E30" i="22"/>
  <c r="J412" i="36"/>
  <c r="OP57" i="38" l="1"/>
  <c r="W68" i="38"/>
  <c r="G175" i="38" s="1"/>
  <c r="F9" i="22" s="1"/>
  <c r="X68" i="38"/>
  <c r="H175" i="38" s="1"/>
  <c r="G15" i="22" s="1"/>
  <c r="OQ57" i="38"/>
  <c r="G188" i="38" s="1"/>
  <c r="V188" i="38" s="1"/>
  <c r="H19" i="37"/>
  <c r="I19" i="37" s="1"/>
  <c r="E62" i="39"/>
  <c r="C54" i="39"/>
  <c r="C62" i="39" s="1"/>
  <c r="B30" i="24"/>
  <c r="F62" i="39"/>
  <c r="D62" i="39"/>
  <c r="H9" i="22"/>
  <c r="H15" i="22"/>
  <c r="B5" i="23"/>
  <c r="C11" i="39" s="1"/>
  <c r="F175" i="38"/>
  <c r="F178" i="38" s="1"/>
  <c r="D178" i="38"/>
  <c r="D9" i="22"/>
  <c r="D15" i="22"/>
  <c r="O12" i="36"/>
  <c r="F6" i="23"/>
  <c r="G12" i="39" s="1"/>
  <c r="H280" i="36"/>
  <c r="H375" i="36" s="1"/>
  <c r="J280" i="36"/>
  <c r="J375" i="36" s="1"/>
  <c r="G373" i="36"/>
  <c r="C37" i="22" s="1"/>
  <c r="K280" i="36"/>
  <c r="C40" i="22"/>
  <c r="H331" i="36"/>
  <c r="J331" i="36" s="1"/>
  <c r="H284" i="36"/>
  <c r="H385" i="36" s="1"/>
  <c r="K284" i="36"/>
  <c r="K385" i="36" s="1"/>
  <c r="J284" i="36"/>
  <c r="H306" i="36"/>
  <c r="G383" i="36"/>
  <c r="C43" i="22" s="1"/>
  <c r="J287" i="36"/>
  <c r="G368" i="36"/>
  <c r="C34" i="22" s="1"/>
  <c r="J324" i="36"/>
  <c r="I306" i="36"/>
  <c r="H320" i="36"/>
  <c r="J320" i="36" s="1"/>
  <c r="H300" i="36"/>
  <c r="H301" i="36" s="1"/>
  <c r="I282" i="36"/>
  <c r="I380" i="36" s="1"/>
  <c r="H325" i="36"/>
  <c r="I325" i="36" s="1"/>
  <c r="L268" i="36"/>
  <c r="K400" i="36" s="1"/>
  <c r="J282" i="36"/>
  <c r="K268" i="36"/>
  <c r="I300" i="36"/>
  <c r="H298" i="36"/>
  <c r="H299" i="36" s="1"/>
  <c r="K288" i="36"/>
  <c r="H282" i="36"/>
  <c r="H283" i="36" s="1"/>
  <c r="I335" i="36"/>
  <c r="I344" i="36"/>
  <c r="H265" i="36"/>
  <c r="I298" i="36"/>
  <c r="I287" i="36"/>
  <c r="H328" i="36"/>
  <c r="H329" i="36" s="1"/>
  <c r="I329" i="36" s="1"/>
  <c r="I268" i="36"/>
  <c r="H278" i="36"/>
  <c r="I310" i="36"/>
  <c r="F330" i="36"/>
  <c r="K278" i="36"/>
  <c r="K370" i="36" s="1"/>
  <c r="H310" i="36"/>
  <c r="J278" i="36"/>
  <c r="J268" i="36"/>
  <c r="H287" i="36"/>
  <c r="J290" i="36"/>
  <c r="F286" i="36"/>
  <c r="Q249" i="36"/>
  <c r="I356" i="36"/>
  <c r="H268" i="36"/>
  <c r="H269" i="36" s="1"/>
  <c r="G399" i="36" s="1"/>
  <c r="C27" i="22" s="1"/>
  <c r="I346" i="36"/>
  <c r="H393" i="36"/>
  <c r="D49" i="22" s="1"/>
  <c r="J288" i="36"/>
  <c r="I326" i="36"/>
  <c r="K380" i="36" s="1"/>
  <c r="I305" i="36"/>
  <c r="J305" i="36" s="1"/>
  <c r="I288" i="36"/>
  <c r="H302" i="36"/>
  <c r="H303" i="36" s="1"/>
  <c r="I303" i="36" s="1"/>
  <c r="I354" i="36"/>
  <c r="W249" i="36"/>
  <c r="K304" i="36"/>
  <c r="H288" i="36"/>
  <c r="H395" i="36" s="1"/>
  <c r="J276" i="36"/>
  <c r="I276" i="36"/>
  <c r="I313" i="36"/>
  <c r="J313" i="36" s="1"/>
  <c r="J302" i="36"/>
  <c r="F352" i="36"/>
  <c r="H276" i="36"/>
  <c r="H277" i="36" s="1"/>
  <c r="H326" i="36"/>
  <c r="H249" i="36"/>
  <c r="D7" i="19" s="1"/>
  <c r="C54" i="22"/>
  <c r="H403" i="36"/>
  <c r="I348" i="36"/>
  <c r="H349" i="36"/>
  <c r="H342" i="36"/>
  <c r="I342" i="36" s="1"/>
  <c r="N249" i="36"/>
  <c r="I290" i="36"/>
  <c r="K249" i="36"/>
  <c r="B26" i="22"/>
  <c r="G398" i="36"/>
  <c r="H332" i="36"/>
  <c r="I332" i="36"/>
  <c r="H290" i="36"/>
  <c r="H291" i="36" s="1"/>
  <c r="I309" i="36"/>
  <c r="J309" i="36"/>
  <c r="K390" i="36" s="1"/>
  <c r="H309" i="36"/>
  <c r="F264" i="36"/>
  <c r="F363" i="36"/>
  <c r="J254" i="36"/>
  <c r="J264" i="36" s="1"/>
  <c r="K254" i="36"/>
  <c r="K264" i="36" s="1"/>
  <c r="H254" i="36"/>
  <c r="H264" i="36" s="1"/>
  <c r="I254" i="36"/>
  <c r="L254" i="36"/>
  <c r="B46" i="22"/>
  <c r="B48" i="22" s="1"/>
  <c r="G388" i="36"/>
  <c r="H358" i="36"/>
  <c r="H359" i="36" s="1"/>
  <c r="T249" i="36"/>
  <c r="F308" i="36"/>
  <c r="I314" i="36"/>
  <c r="J314" i="36"/>
  <c r="H314" i="36"/>
  <c r="H323" i="36"/>
  <c r="I323" i="36" s="1"/>
  <c r="J322" i="36"/>
  <c r="G370" i="36"/>
  <c r="M256" i="36"/>
  <c r="H257" i="36"/>
  <c r="I336" i="36"/>
  <c r="H336" i="36"/>
  <c r="M266" i="36"/>
  <c r="H267" i="36"/>
  <c r="G395" i="36"/>
  <c r="G389" i="36"/>
  <c r="C47" i="22" s="1"/>
  <c r="G385" i="36"/>
  <c r="M262" i="36"/>
  <c r="H263" i="36"/>
  <c r="G384" i="36" s="1"/>
  <c r="C44" i="22" s="1"/>
  <c r="G380" i="36"/>
  <c r="H261" i="36"/>
  <c r="G379" i="36" s="1"/>
  <c r="C41" i="22" s="1"/>
  <c r="M260" i="36"/>
  <c r="I292" i="36"/>
  <c r="J292" i="36"/>
  <c r="K292" i="36"/>
  <c r="H292" i="36"/>
  <c r="G375" i="36"/>
  <c r="M258" i="36"/>
  <c r="H259" i="36"/>
  <c r="K312" i="36"/>
  <c r="L270" i="36"/>
  <c r="I270" i="36"/>
  <c r="H270" i="36"/>
  <c r="J270" i="36"/>
  <c r="K270" i="36"/>
  <c r="K412" i="36"/>
  <c r="G30" i="22" s="1"/>
  <c r="F30" i="22"/>
  <c r="D40" i="22"/>
  <c r="I378" i="36"/>
  <c r="D21" i="33"/>
  <c r="F188" i="38" l="1"/>
  <c r="U188" i="38" s="1"/>
  <c r="G178" i="38"/>
  <c r="K12" i="36" s="1"/>
  <c r="F15" i="22"/>
  <c r="H178" i="38"/>
  <c r="M12" i="36" s="1"/>
  <c r="G9" i="22"/>
  <c r="I27" i="37"/>
  <c r="G31" i="37" s="1"/>
  <c r="E9" i="22"/>
  <c r="E15" i="22"/>
  <c r="G12" i="36"/>
  <c r="G13" i="36" s="1"/>
  <c r="C4" i="20" s="1"/>
  <c r="B6" i="23"/>
  <c r="C12" i="39" s="1"/>
  <c r="I12" i="36"/>
  <c r="C6" i="23"/>
  <c r="D12" i="39" s="1"/>
  <c r="H281" i="36"/>
  <c r="I281" i="36" s="1"/>
  <c r="J281" i="36" s="1"/>
  <c r="K281" i="36" s="1"/>
  <c r="L280" i="36"/>
  <c r="H373" i="36"/>
  <c r="I373" i="36" s="1"/>
  <c r="J373" i="36" s="1"/>
  <c r="H321" i="36"/>
  <c r="I321" i="36" s="1"/>
  <c r="K375" i="36"/>
  <c r="L284" i="36"/>
  <c r="J390" i="36"/>
  <c r="K306" i="36"/>
  <c r="H285" i="36"/>
  <c r="I285" i="36" s="1"/>
  <c r="J285" i="36" s="1"/>
  <c r="K285" i="36" s="1"/>
  <c r="I385" i="36"/>
  <c r="H383" i="36"/>
  <c r="I383" i="36" s="1"/>
  <c r="J383" i="36" s="1"/>
  <c r="H307" i="36"/>
  <c r="I307" i="36" s="1"/>
  <c r="J307" i="36" s="1"/>
  <c r="H368" i="36"/>
  <c r="I368" i="36" s="1"/>
  <c r="J286" i="36"/>
  <c r="I370" i="36"/>
  <c r="K300" i="36"/>
  <c r="I283" i="36"/>
  <c r="J283" i="36" s="1"/>
  <c r="K283" i="36" s="1"/>
  <c r="K286" i="36"/>
  <c r="I286" i="36"/>
  <c r="I375" i="36"/>
  <c r="I301" i="36"/>
  <c r="J301" i="36" s="1"/>
  <c r="I291" i="36"/>
  <c r="J291" i="36" s="1"/>
  <c r="K291" i="36" s="1"/>
  <c r="I308" i="36"/>
  <c r="J370" i="36"/>
  <c r="H400" i="36"/>
  <c r="I393" i="36"/>
  <c r="E49" i="22" s="1"/>
  <c r="K365" i="36"/>
  <c r="K395" i="36"/>
  <c r="I299" i="36"/>
  <c r="J299" i="36" s="1"/>
  <c r="J380" i="36"/>
  <c r="J395" i="36"/>
  <c r="J385" i="36"/>
  <c r="K298" i="36"/>
  <c r="M265" i="36"/>
  <c r="G390" i="36"/>
  <c r="J328" i="36"/>
  <c r="L282" i="36"/>
  <c r="I400" i="36"/>
  <c r="J400" i="36"/>
  <c r="K310" i="36"/>
  <c r="H286" i="36"/>
  <c r="H330" i="36"/>
  <c r="H380" i="36"/>
  <c r="I390" i="36"/>
  <c r="L287" i="36"/>
  <c r="J308" i="36"/>
  <c r="J303" i="36"/>
  <c r="K302" i="36"/>
  <c r="J326" i="36"/>
  <c r="H289" i="36"/>
  <c r="I289" i="36" s="1"/>
  <c r="J289" i="36" s="1"/>
  <c r="K289" i="36" s="1"/>
  <c r="H370" i="36"/>
  <c r="K389" i="36"/>
  <c r="G47" i="22" s="1"/>
  <c r="H308" i="36"/>
  <c r="H390" i="36"/>
  <c r="M268" i="36"/>
  <c r="L288" i="36"/>
  <c r="H279" i="36"/>
  <c r="I279" i="36" s="1"/>
  <c r="J279" i="36" s="1"/>
  <c r="K279" i="36" s="1"/>
  <c r="H389" i="36"/>
  <c r="D47" i="22" s="1"/>
  <c r="I352" i="36"/>
  <c r="I330" i="36"/>
  <c r="J365" i="36"/>
  <c r="I389" i="36"/>
  <c r="E47" i="22" s="1"/>
  <c r="H311" i="36"/>
  <c r="I311" i="36" s="1"/>
  <c r="J311" i="36" s="1"/>
  <c r="L278" i="36"/>
  <c r="I395" i="36"/>
  <c r="G400" i="36"/>
  <c r="H327" i="36"/>
  <c r="I327" i="36" s="1"/>
  <c r="I405" i="36"/>
  <c r="E55" i="22" s="1"/>
  <c r="L276" i="36"/>
  <c r="L264" i="36"/>
  <c r="I277" i="36"/>
  <c r="J277" i="36" s="1"/>
  <c r="K277" i="36" s="1"/>
  <c r="I261" i="36"/>
  <c r="H379" i="36" s="1"/>
  <c r="D41" i="22" s="1"/>
  <c r="I269" i="36"/>
  <c r="J269" i="36" s="1"/>
  <c r="H333" i="36"/>
  <c r="I333" i="36" s="1"/>
  <c r="J332" i="36"/>
  <c r="L290" i="36"/>
  <c r="I365" i="36"/>
  <c r="J389" i="36"/>
  <c r="F47" i="22" s="1"/>
  <c r="I264" i="36"/>
  <c r="C46" i="22"/>
  <c r="H388" i="36"/>
  <c r="M254" i="36"/>
  <c r="M264" i="36" s="1"/>
  <c r="G363" i="36"/>
  <c r="B31" i="22"/>
  <c r="H398" i="36"/>
  <c r="C26" i="22"/>
  <c r="H352" i="36"/>
  <c r="H343" i="36"/>
  <c r="I358" i="36"/>
  <c r="G365" i="36"/>
  <c r="G408" i="36" s="1"/>
  <c r="H255" i="36"/>
  <c r="G364" i="36" s="1"/>
  <c r="C32" i="22" s="1"/>
  <c r="D54" i="22"/>
  <c r="I403" i="36"/>
  <c r="K405" i="36"/>
  <c r="G55" i="22" s="1"/>
  <c r="H365" i="36"/>
  <c r="K309" i="36"/>
  <c r="M270" i="36"/>
  <c r="H271" i="36"/>
  <c r="G404" i="36" s="1"/>
  <c r="G405" i="36"/>
  <c r="C55" i="22" s="1"/>
  <c r="H405" i="36"/>
  <c r="D55" i="22" s="1"/>
  <c r="I259" i="36"/>
  <c r="G374" i="36"/>
  <c r="C38" i="22" s="1"/>
  <c r="L292" i="36"/>
  <c r="H293" i="36"/>
  <c r="I293" i="36" s="1"/>
  <c r="J293" i="36" s="1"/>
  <c r="K293" i="36" s="1"/>
  <c r="H337" i="36"/>
  <c r="I337" i="36" s="1"/>
  <c r="J336" i="36"/>
  <c r="J405" i="36"/>
  <c r="F55" i="22" s="1"/>
  <c r="I263" i="36"/>
  <c r="G394" i="36"/>
  <c r="C50" i="22" s="1"/>
  <c r="I267" i="36"/>
  <c r="G369" i="36"/>
  <c r="C35" i="22" s="1"/>
  <c r="I257" i="36"/>
  <c r="H315" i="36"/>
  <c r="I315" i="36" s="1"/>
  <c r="J315" i="36" s="1"/>
  <c r="K314" i="36"/>
  <c r="J378" i="36"/>
  <c r="E40" i="22"/>
  <c r="D6" i="23" l="1"/>
  <c r="E12" i="39" s="1"/>
  <c r="E6" i="23"/>
  <c r="F12" i="39" s="1"/>
  <c r="G39" i="37"/>
  <c r="B7" i="23"/>
  <c r="C13" i="39" s="1"/>
  <c r="B9" i="24"/>
  <c r="C42" i="39" s="1"/>
  <c r="E37" i="22"/>
  <c r="K408" i="36"/>
  <c r="D37" i="22"/>
  <c r="E43" i="22"/>
  <c r="D34" i="22"/>
  <c r="D43" i="22"/>
  <c r="I408" i="36"/>
  <c r="H399" i="36"/>
  <c r="D27" i="22" s="1"/>
  <c r="J393" i="36"/>
  <c r="F49" i="22" s="1"/>
  <c r="J261" i="36"/>
  <c r="K261" i="36" s="1"/>
  <c r="I409" i="36"/>
  <c r="J330" i="36"/>
  <c r="J408" i="36"/>
  <c r="K308" i="36"/>
  <c r="L286" i="36"/>
  <c r="H408" i="36"/>
  <c r="H409" i="36"/>
  <c r="K409" i="36"/>
  <c r="I388" i="36"/>
  <c r="D46" i="22"/>
  <c r="J403" i="36"/>
  <c r="E54" i="22"/>
  <c r="J368" i="36"/>
  <c r="E34" i="22"/>
  <c r="D26" i="22"/>
  <c r="I398" i="36"/>
  <c r="I271" i="36"/>
  <c r="J271" i="36" s="1"/>
  <c r="J409" i="36"/>
  <c r="G409" i="36"/>
  <c r="H363" i="36"/>
  <c r="C31" i="22"/>
  <c r="I255" i="36"/>
  <c r="H394" i="36"/>
  <c r="D50" i="22" s="1"/>
  <c r="J267" i="36"/>
  <c r="K269" i="36"/>
  <c r="I399" i="36"/>
  <c r="E27" i="22" s="1"/>
  <c r="H374" i="36"/>
  <c r="D38" i="22" s="1"/>
  <c r="J259" i="36"/>
  <c r="H369" i="36"/>
  <c r="D35" i="22" s="1"/>
  <c r="J257" i="36"/>
  <c r="H384" i="36"/>
  <c r="D44" i="22" s="1"/>
  <c r="J263" i="36"/>
  <c r="F37" i="22"/>
  <c r="K373" i="36"/>
  <c r="G37" i="22" s="1"/>
  <c r="F43" i="22"/>
  <c r="K383" i="36"/>
  <c r="G43" i="22" s="1"/>
  <c r="F40" i="22"/>
  <c r="K378" i="36"/>
  <c r="G40" i="22" s="1"/>
  <c r="G15" i="33"/>
  <c r="G14" i="33"/>
  <c r="G13" i="33"/>
  <c r="G12" i="33"/>
  <c r="H24" i="33" s="1"/>
  <c r="I24" i="33" s="1"/>
  <c r="F11" i="33"/>
  <c r="L24" i="33" l="1"/>
  <c r="M24" i="33" s="1"/>
  <c r="G42" i="37"/>
  <c r="P22" i="37" s="1"/>
  <c r="Q22" i="37" s="1"/>
  <c r="P23" i="37"/>
  <c r="P25" i="37"/>
  <c r="I22" i="36"/>
  <c r="K22" i="36" s="1"/>
  <c r="H9" i="36"/>
  <c r="I9" i="36" s="1"/>
  <c r="D7" i="23"/>
  <c r="E13" i="39" s="1"/>
  <c r="D9" i="24"/>
  <c r="E42" i="39" s="1"/>
  <c r="F8" i="23"/>
  <c r="G14" i="39" s="1"/>
  <c r="F10" i="24"/>
  <c r="G43" i="39" s="1"/>
  <c r="F7" i="23"/>
  <c r="G13" i="39" s="1"/>
  <c r="F9" i="24"/>
  <c r="G42" i="39" s="1"/>
  <c r="B8" i="23"/>
  <c r="B10" i="24"/>
  <c r="C43" i="39" s="1"/>
  <c r="C8" i="23"/>
  <c r="D14" i="39" s="1"/>
  <c r="C10" i="24"/>
  <c r="D43" i="39" s="1"/>
  <c r="E7" i="23"/>
  <c r="F13" i="39" s="1"/>
  <c r="E9" i="24"/>
  <c r="F42" i="39" s="1"/>
  <c r="E8" i="23"/>
  <c r="F14" i="39" s="1"/>
  <c r="E10" i="24"/>
  <c r="F43" i="39" s="1"/>
  <c r="C7" i="23"/>
  <c r="D13" i="39" s="1"/>
  <c r="C9" i="24"/>
  <c r="D42" i="39" s="1"/>
  <c r="D8" i="23"/>
  <c r="E14" i="39" s="1"/>
  <c r="D10" i="24"/>
  <c r="E43" i="39" s="1"/>
  <c r="K393" i="36"/>
  <c r="G49" i="22" s="1"/>
  <c r="I379" i="36"/>
  <c r="E41" i="22" s="1"/>
  <c r="H404" i="36"/>
  <c r="J398" i="36"/>
  <c r="E26" i="22"/>
  <c r="F54" i="22"/>
  <c r="K403" i="36"/>
  <c r="G54" i="22" s="1"/>
  <c r="H364" i="36"/>
  <c r="D32" i="22" s="1"/>
  <c r="J255" i="36"/>
  <c r="I363" i="36"/>
  <c r="D31" i="22"/>
  <c r="F34" i="22"/>
  <c r="K368" i="36"/>
  <c r="G34" i="22" s="1"/>
  <c r="E46" i="22"/>
  <c r="J388" i="36"/>
  <c r="K271" i="36"/>
  <c r="I404" i="36"/>
  <c r="J399" i="36"/>
  <c r="F27" i="22" s="1"/>
  <c r="L269" i="36"/>
  <c r="K399" i="36" s="1"/>
  <c r="G27" i="22" s="1"/>
  <c r="L261" i="36"/>
  <c r="K379" i="36" s="1"/>
  <c r="G41" i="22" s="1"/>
  <c r="J379" i="36"/>
  <c r="F41" i="22" s="1"/>
  <c r="K263" i="36"/>
  <c r="I384" i="36"/>
  <c r="E44" i="22" s="1"/>
  <c r="I374" i="36"/>
  <c r="E38" i="22" s="1"/>
  <c r="K259" i="36"/>
  <c r="K267" i="36"/>
  <c r="I394" i="36"/>
  <c r="E50" i="22" s="1"/>
  <c r="I369" i="36"/>
  <c r="E35" i="22" s="1"/>
  <c r="K257" i="36"/>
  <c r="F27" i="33"/>
  <c r="F28" i="33" s="1"/>
  <c r="C11" i="33"/>
  <c r="P24" i="33" l="1"/>
  <c r="Q24" i="33" s="1"/>
  <c r="H39" i="37"/>
  <c r="J9" i="36"/>
  <c r="K9" i="36" s="1"/>
  <c r="L22" i="36"/>
  <c r="N22" i="36" s="1"/>
  <c r="C14" i="39"/>
  <c r="C15" i="39" s="1"/>
  <c r="O10" i="39" s="1"/>
  <c r="B9" i="23"/>
  <c r="F46" i="22"/>
  <c r="K388" i="36"/>
  <c r="G46" i="22" s="1"/>
  <c r="I364" i="36"/>
  <c r="E32" i="22" s="1"/>
  <c r="K255" i="36"/>
  <c r="E31" i="22"/>
  <c r="J363" i="36"/>
  <c r="F26" i="22"/>
  <c r="K398" i="36"/>
  <c r="G26" i="22" s="1"/>
  <c r="L271" i="36"/>
  <c r="K404" i="36" s="1"/>
  <c r="J404" i="36"/>
  <c r="L267" i="36"/>
  <c r="K394" i="36" s="1"/>
  <c r="G50" i="22" s="1"/>
  <c r="J394" i="36"/>
  <c r="F50" i="22" s="1"/>
  <c r="L263" i="36"/>
  <c r="K384" i="36" s="1"/>
  <c r="G44" i="22" s="1"/>
  <c r="J384" i="36"/>
  <c r="F44" i="22" s="1"/>
  <c r="J369" i="36"/>
  <c r="F35" i="22" s="1"/>
  <c r="L257" i="36"/>
  <c r="K369" i="36" s="1"/>
  <c r="G35" i="22" s="1"/>
  <c r="L259" i="36"/>
  <c r="K374" i="36" s="1"/>
  <c r="G38" i="22" s="1"/>
  <c r="J374" i="36"/>
  <c r="F38" i="22" s="1"/>
  <c r="T24" i="33" l="1"/>
  <c r="U24" i="33" s="1"/>
  <c r="Q23" i="37"/>
  <c r="H42" i="37"/>
  <c r="Q25" i="37"/>
  <c r="O22" i="36"/>
  <c r="Q22" i="36" s="1"/>
  <c r="L9" i="36"/>
  <c r="M9" i="36" s="1"/>
  <c r="K363" i="36"/>
  <c r="G31" i="22" s="1"/>
  <c r="F31" i="22"/>
  <c r="J364" i="36"/>
  <c r="F32" i="22" s="1"/>
  <c r="L255" i="36"/>
  <c r="K364" i="36" s="1"/>
  <c r="G32" i="22" s="1"/>
  <c r="I11" i="36"/>
  <c r="I26" i="33"/>
  <c r="I27" i="33" s="1"/>
  <c r="I28" i="33" s="1"/>
  <c r="C31" i="2"/>
  <c r="C26" i="2"/>
  <c r="N9" i="36" l="1"/>
  <c r="O9" i="36" s="1"/>
  <c r="R22" i="36"/>
  <c r="T22" i="36" s="1"/>
  <c r="K11" i="36"/>
  <c r="I13" i="36"/>
  <c r="D4" i="20" s="1"/>
  <c r="C4" i="23"/>
  <c r="D10" i="39" s="1"/>
  <c r="O23" i="39" s="1"/>
  <c r="M26" i="33"/>
  <c r="M11" i="36" l="1"/>
  <c r="K13" i="36"/>
  <c r="E4" i="20" s="1"/>
  <c r="D4" i="23"/>
  <c r="E10" i="39" s="1"/>
  <c r="O43" i="39" s="1"/>
  <c r="M27" i="33"/>
  <c r="M28" i="33" s="1"/>
  <c r="Q26" i="33"/>
  <c r="C46" i="25"/>
  <c r="H9" i="25"/>
  <c r="E46" i="25" s="1"/>
  <c r="D37" i="24"/>
  <c r="E68" i="39" s="1"/>
  <c r="E37" i="24"/>
  <c r="F68" i="39" s="1"/>
  <c r="F37" i="24"/>
  <c r="G68" i="39" s="1"/>
  <c r="E36" i="24"/>
  <c r="F67" i="39" s="1"/>
  <c r="F36" i="24"/>
  <c r="G67" i="39" s="1"/>
  <c r="U26" i="33" l="1"/>
  <c r="U27" i="33" s="1"/>
  <c r="U28" i="33" s="1"/>
  <c r="M13" i="36"/>
  <c r="F4" i="20" s="1"/>
  <c r="E4" i="23"/>
  <c r="F10" i="39" s="1"/>
  <c r="O56" i="39" s="1"/>
  <c r="Q27" i="33"/>
  <c r="Q28" i="33" s="1"/>
  <c r="D29" i="25"/>
  <c r="D26" i="25"/>
  <c r="D30" i="24"/>
  <c r="C30" i="24"/>
  <c r="F30" i="24"/>
  <c r="O11" i="36" l="1"/>
  <c r="O13" i="36" s="1"/>
  <c r="G4" i="20" s="1"/>
  <c r="C26" i="23"/>
  <c r="D26" i="23"/>
  <c r="E26" i="23"/>
  <c r="F26" i="23"/>
  <c r="B71" i="22"/>
  <c r="B70" i="22"/>
  <c r="C69" i="22"/>
  <c r="B69" i="22"/>
  <c r="B68" i="22"/>
  <c r="B67" i="22"/>
  <c r="C67" i="22" s="1"/>
  <c r="D67" i="22" s="1"/>
  <c r="E67" i="22" s="1"/>
  <c r="F67" i="22" s="1"/>
  <c r="G67" i="22" s="1"/>
  <c r="G62" i="22"/>
  <c r="B61" i="22"/>
  <c r="B24" i="22"/>
  <c r="K141" i="18"/>
  <c r="F8" i="20" s="1"/>
  <c r="L141" i="18"/>
  <c r="G8" i="20" s="1"/>
  <c r="H136" i="18"/>
  <c r="E24" i="19"/>
  <c r="E47" i="25" s="1"/>
  <c r="H141" i="18"/>
  <c r="C8" i="20" s="1"/>
  <c r="J141" i="18"/>
  <c r="E8" i="20" s="1"/>
  <c r="I141" i="18"/>
  <c r="D8" i="20" s="1"/>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35" i="18"/>
  <c r="C126" i="18"/>
  <c r="C127" i="18" s="1"/>
  <c r="D115" i="18"/>
  <c r="D126" i="18" s="1"/>
  <c r="D108" i="18"/>
  <c r="D109" i="18" s="1"/>
  <c r="C108" i="18"/>
  <c r="C109" i="18" s="1"/>
  <c r="E99" i="18"/>
  <c r="E100" i="18"/>
  <c r="E101" i="18"/>
  <c r="E102" i="18"/>
  <c r="E103" i="18"/>
  <c r="E104" i="18"/>
  <c r="E105" i="18"/>
  <c r="E106" i="18"/>
  <c r="E107" i="18"/>
  <c r="E98" i="18"/>
  <c r="C78" i="18"/>
  <c r="C79" i="18" s="1"/>
  <c r="D68" i="18"/>
  <c r="D69" i="18"/>
  <c r="D70" i="18"/>
  <c r="D71" i="18"/>
  <c r="D72" i="18"/>
  <c r="D73" i="18"/>
  <c r="D74" i="18"/>
  <c r="D75" i="18"/>
  <c r="D76" i="18"/>
  <c r="D77" i="18"/>
  <c r="D67" i="18"/>
  <c r="D60" i="18"/>
  <c r="D61" i="18" s="1"/>
  <c r="C60" i="18"/>
  <c r="C61" i="18" s="1"/>
  <c r="E50" i="18"/>
  <c r="C36" i="18"/>
  <c r="C37" i="18" s="1"/>
  <c r="D25" i="18"/>
  <c r="D18" i="18"/>
  <c r="D19" i="18" s="1"/>
  <c r="C18" i="18"/>
  <c r="C19" i="18" s="1"/>
  <c r="E17" i="18"/>
  <c r="N16" i="18"/>
  <c r="N49" i="18" s="1"/>
  <c r="M16" i="18"/>
  <c r="L16" i="18"/>
  <c r="J16" i="18"/>
  <c r="I16" i="18"/>
  <c r="H16" i="18"/>
  <c r="G16" i="18"/>
  <c r="F16" i="18"/>
  <c r="F49" i="18" s="1"/>
  <c r="F97" i="18" l="1"/>
  <c r="F102" i="18" s="1"/>
  <c r="F52" i="18"/>
  <c r="F54" i="18"/>
  <c r="F56" i="18"/>
  <c r="F58" i="18"/>
  <c r="F51" i="18"/>
  <c r="F53" i="18"/>
  <c r="F55" i="18"/>
  <c r="F57" i="18"/>
  <c r="F59" i="18"/>
  <c r="N97" i="18"/>
  <c r="N101" i="18" s="1"/>
  <c r="N51" i="18"/>
  <c r="N53" i="18"/>
  <c r="N55" i="18"/>
  <c r="N57" i="18"/>
  <c r="N59" i="18"/>
  <c r="N52" i="18"/>
  <c r="N54" i="18"/>
  <c r="N56" i="18"/>
  <c r="N58" i="18"/>
  <c r="E108" i="18"/>
  <c r="E109" i="18" s="1"/>
  <c r="D36" i="18"/>
  <c r="F4" i="23"/>
  <c r="G10" i="39" s="1"/>
  <c r="O69" i="39" s="1"/>
  <c r="J17" i="18"/>
  <c r="L17" i="18"/>
  <c r="B72" i="22"/>
  <c r="C162" i="18"/>
  <c r="C9" i="20" s="1"/>
  <c r="D78" i="18"/>
  <c r="B28" i="22"/>
  <c r="F107" i="18"/>
  <c r="F104" i="18"/>
  <c r="G49" i="18"/>
  <c r="N102" i="18"/>
  <c r="G17" i="18"/>
  <c r="N50" i="18"/>
  <c r="F50" i="18"/>
  <c r="N17" i="18"/>
  <c r="H49" i="18"/>
  <c r="F17" i="18"/>
  <c r="I49" i="18"/>
  <c r="J49" i="18"/>
  <c r="H17" i="18"/>
  <c r="E18" i="18"/>
  <c r="E19" i="18" s="1"/>
  <c r="L49" i="18"/>
  <c r="I17" i="18"/>
  <c r="M49" i="18"/>
  <c r="E60" i="18"/>
  <c r="E61" i="18" s="1"/>
  <c r="M17" i="18"/>
  <c r="N105" i="18" l="1"/>
  <c r="N98" i="18"/>
  <c r="N104" i="18"/>
  <c r="N106" i="18"/>
  <c r="N100" i="18"/>
  <c r="N107" i="18"/>
  <c r="J97" i="18"/>
  <c r="J99" i="18" s="1"/>
  <c r="J52" i="18"/>
  <c r="J54" i="18"/>
  <c r="J56" i="18"/>
  <c r="J58" i="18"/>
  <c r="J51" i="18"/>
  <c r="J53" i="18"/>
  <c r="J55" i="18"/>
  <c r="J57" i="18"/>
  <c r="J59" i="18"/>
  <c r="G51" i="18"/>
  <c r="G53" i="18"/>
  <c r="G55" i="18"/>
  <c r="G57" i="18"/>
  <c r="G59" i="18"/>
  <c r="O59" i="18" s="1"/>
  <c r="P59" i="18" s="1"/>
  <c r="G52" i="18"/>
  <c r="G54" i="18"/>
  <c r="G56" i="18"/>
  <c r="G58" i="18"/>
  <c r="M97" i="18"/>
  <c r="M98" i="18" s="1"/>
  <c r="M52" i="18"/>
  <c r="M54" i="18"/>
  <c r="M56" i="18"/>
  <c r="M58" i="18"/>
  <c r="M51" i="18"/>
  <c r="M53" i="18"/>
  <c r="M55" i="18"/>
  <c r="M57" i="18"/>
  <c r="M59" i="18"/>
  <c r="L97" i="18"/>
  <c r="L107" i="18" s="1"/>
  <c r="L51" i="18"/>
  <c r="L53" i="18"/>
  <c r="L55" i="18"/>
  <c r="L57" i="18"/>
  <c r="L59" i="18"/>
  <c r="L52" i="18"/>
  <c r="L54" i="18"/>
  <c r="L56" i="18"/>
  <c r="L58" i="18"/>
  <c r="I97" i="18"/>
  <c r="I106" i="18" s="1"/>
  <c r="I51" i="18"/>
  <c r="I53" i="18"/>
  <c r="I55" i="18"/>
  <c r="I57" i="18"/>
  <c r="I59" i="18"/>
  <c r="I52" i="18"/>
  <c r="I54" i="18"/>
  <c r="I56" i="18"/>
  <c r="I58" i="18"/>
  <c r="H97" i="18"/>
  <c r="H105" i="18" s="1"/>
  <c r="H52" i="18"/>
  <c r="H54" i="18"/>
  <c r="H56" i="18"/>
  <c r="H58" i="18"/>
  <c r="H51" i="18"/>
  <c r="H53" i="18"/>
  <c r="O53" i="18" s="1"/>
  <c r="P53" i="18" s="1"/>
  <c r="H55" i="18"/>
  <c r="H57" i="18"/>
  <c r="H59" i="18"/>
  <c r="F103" i="18"/>
  <c r="N103" i="18"/>
  <c r="F100" i="18"/>
  <c r="F105" i="18"/>
  <c r="F106" i="18"/>
  <c r="F99" i="18"/>
  <c r="F98" i="18"/>
  <c r="F101" i="18"/>
  <c r="N99" i="18"/>
  <c r="N18" i="18"/>
  <c r="N19" i="18" s="1"/>
  <c r="G50" i="18"/>
  <c r="J18" i="18"/>
  <c r="J19" i="18" s="1"/>
  <c r="D9" i="20"/>
  <c r="B42" i="22"/>
  <c r="B39" i="22"/>
  <c r="I18" i="18"/>
  <c r="I19" i="18" s="1"/>
  <c r="N60" i="18"/>
  <c r="N61" i="18" s="1"/>
  <c r="M100" i="18"/>
  <c r="M101" i="18"/>
  <c r="M106" i="18"/>
  <c r="M104" i="18"/>
  <c r="M99" i="18"/>
  <c r="H104" i="18"/>
  <c r="H102" i="18"/>
  <c r="H99" i="18"/>
  <c r="H100" i="18"/>
  <c r="H101" i="18"/>
  <c r="J106" i="18"/>
  <c r="J98" i="18"/>
  <c r="J104" i="18"/>
  <c r="L18" i="18"/>
  <c r="L19" i="18" s="1"/>
  <c r="I105" i="18"/>
  <c r="I99" i="18"/>
  <c r="I103" i="18"/>
  <c r="I98" i="18"/>
  <c r="I102" i="18"/>
  <c r="O17" i="18"/>
  <c r="P17" i="18" s="1"/>
  <c r="G97" i="18"/>
  <c r="L99" i="18"/>
  <c r="L100" i="18"/>
  <c r="L101" i="18"/>
  <c r="L102" i="18"/>
  <c r="L104" i="18"/>
  <c r="G18" i="18"/>
  <c r="G19" i="18" s="1"/>
  <c r="F60" i="18"/>
  <c r="F61" i="18" s="1"/>
  <c r="M50" i="18"/>
  <c r="H50" i="18"/>
  <c r="F18" i="18"/>
  <c r="F19" i="18" s="1"/>
  <c r="L50" i="18"/>
  <c r="H18" i="18"/>
  <c r="H19" i="18" s="1"/>
  <c r="J50" i="18"/>
  <c r="I50" i="18"/>
  <c r="M18" i="18"/>
  <c r="M19" i="18" s="1"/>
  <c r="L106" i="18" l="1"/>
  <c r="L103" i="18"/>
  <c r="L105" i="18"/>
  <c r="L108" i="18" s="1"/>
  <c r="L109" i="18" s="1"/>
  <c r="L98" i="18"/>
  <c r="I104" i="18"/>
  <c r="I101" i="18"/>
  <c r="I100" i="18"/>
  <c r="I108" i="18" s="1"/>
  <c r="I109" i="18" s="1"/>
  <c r="I107" i="18"/>
  <c r="J102" i="18"/>
  <c r="J107" i="18"/>
  <c r="H103" i="18"/>
  <c r="H98" i="18"/>
  <c r="H107" i="18"/>
  <c r="H106" i="18"/>
  <c r="M107" i="18"/>
  <c r="M105" i="18"/>
  <c r="M103" i="18"/>
  <c r="M108" i="18" s="1"/>
  <c r="M109" i="18" s="1"/>
  <c r="M102" i="18"/>
  <c r="N108" i="18"/>
  <c r="N109" i="18" s="1"/>
  <c r="O51" i="18"/>
  <c r="P51" i="18" s="1"/>
  <c r="O56" i="18"/>
  <c r="P56" i="18" s="1"/>
  <c r="O54" i="18"/>
  <c r="P54" i="18" s="1"/>
  <c r="O52" i="18"/>
  <c r="P52" i="18" s="1"/>
  <c r="F108" i="18"/>
  <c r="F109" i="18" s="1"/>
  <c r="O57" i="18"/>
  <c r="P57" i="18" s="1"/>
  <c r="O58" i="18"/>
  <c r="P58" i="18" s="1"/>
  <c r="O55" i="18"/>
  <c r="P55" i="18" s="1"/>
  <c r="J105" i="18"/>
  <c r="J103" i="18"/>
  <c r="J101" i="18"/>
  <c r="J100" i="18"/>
  <c r="G60" i="18"/>
  <c r="G61" i="18" s="1"/>
  <c r="E9" i="20"/>
  <c r="F9" i="20" s="1"/>
  <c r="B45" i="22"/>
  <c r="E30" i="24"/>
  <c r="I60" i="18"/>
  <c r="I61" i="18" s="1"/>
  <c r="O18" i="18"/>
  <c r="O19" i="18" s="1"/>
  <c r="P18" i="18"/>
  <c r="C5" i="20" s="1"/>
  <c r="H108" i="18"/>
  <c r="H109" i="18" s="1"/>
  <c r="G103" i="18"/>
  <c r="O103" i="18" s="1"/>
  <c r="P103" i="18" s="1"/>
  <c r="G104" i="18"/>
  <c r="G105" i="18"/>
  <c r="O105" i="18" s="1"/>
  <c r="P105" i="18" s="1"/>
  <c r="G106" i="18"/>
  <c r="G99" i="18"/>
  <c r="O99" i="18" s="1"/>
  <c r="P99" i="18" s="1"/>
  <c r="G107" i="18"/>
  <c r="G100" i="18"/>
  <c r="O100" i="18" s="1"/>
  <c r="P100" i="18" s="1"/>
  <c r="G101" i="18"/>
  <c r="G98" i="18"/>
  <c r="G102" i="18"/>
  <c r="H60" i="18"/>
  <c r="H61" i="18" s="1"/>
  <c r="O50" i="18"/>
  <c r="J60" i="18"/>
  <c r="J61" i="18" s="1"/>
  <c r="L60" i="18"/>
  <c r="L61" i="18" s="1"/>
  <c r="M60" i="18"/>
  <c r="M61" i="18" s="1"/>
  <c r="O102" i="18" l="1"/>
  <c r="P102" i="18" s="1"/>
  <c r="O107" i="18"/>
  <c r="P107" i="18" s="1"/>
  <c r="O106" i="18"/>
  <c r="P106" i="18" s="1"/>
  <c r="O104" i="18"/>
  <c r="P104" i="18" s="1"/>
  <c r="J108" i="18"/>
  <c r="J109" i="18" s="1"/>
  <c r="O101" i="18"/>
  <c r="P101" i="18" s="1"/>
  <c r="D5" i="20"/>
  <c r="B11" i="23"/>
  <c r="C17" i="39" s="1"/>
  <c r="C37" i="25"/>
  <c r="G9" i="20"/>
  <c r="C28" i="22"/>
  <c r="C11" i="20"/>
  <c r="B33" i="22"/>
  <c r="B52" i="22" s="1"/>
  <c r="C42" i="22"/>
  <c r="C36" i="22"/>
  <c r="D42" i="22"/>
  <c r="C45" i="22"/>
  <c r="C39" i="22"/>
  <c r="D28" i="22"/>
  <c r="G108" i="18"/>
  <c r="G109" i="18" s="1"/>
  <c r="O98" i="18"/>
  <c r="P50" i="18"/>
  <c r="P60" i="18" s="1"/>
  <c r="O60" i="18"/>
  <c r="O61" i="18" s="1"/>
  <c r="C6" i="20" s="1"/>
  <c r="D12" i="20" l="1"/>
  <c r="E5" i="20"/>
  <c r="C11" i="23"/>
  <c r="D17" i="39" s="1"/>
  <c r="G11" i="20"/>
  <c r="E11" i="20"/>
  <c r="D6" i="20"/>
  <c r="B10" i="23"/>
  <c r="C16" i="39" s="1"/>
  <c r="C51" i="22"/>
  <c r="C12" i="20"/>
  <c r="E42" i="22"/>
  <c r="C33" i="22"/>
  <c r="C48" i="22"/>
  <c r="D39" i="22"/>
  <c r="C56" i="22"/>
  <c r="D45" i="22"/>
  <c r="E45" i="22"/>
  <c r="E28" i="22"/>
  <c r="P98" i="18"/>
  <c r="P108" i="18" s="1"/>
  <c r="O108" i="18"/>
  <c r="O109" i="18" s="1"/>
  <c r="C7" i="20" s="1"/>
  <c r="F5" i="20" l="1"/>
  <c r="D11" i="23"/>
  <c r="E17" i="39" s="1"/>
  <c r="B12" i="23"/>
  <c r="C18" i="39" s="1"/>
  <c r="D7" i="20"/>
  <c r="F11" i="20"/>
  <c r="D11" i="20"/>
  <c r="C52" i="22"/>
  <c r="E6" i="20"/>
  <c r="C10" i="23"/>
  <c r="D16" i="39" s="1"/>
  <c r="D36" i="22"/>
  <c r="D51" i="22"/>
  <c r="D33" i="22"/>
  <c r="G12" i="20"/>
  <c r="F12" i="20"/>
  <c r="F42" i="22"/>
  <c r="G42" i="22"/>
  <c r="D48" i="22"/>
  <c r="E12" i="20"/>
  <c r="E36" i="22"/>
  <c r="D56" i="22"/>
  <c r="G45" i="22"/>
  <c r="F45" i="22"/>
  <c r="E39" i="22"/>
  <c r="F28" i="22"/>
  <c r="G28" i="22"/>
  <c r="G5" i="20" l="1"/>
  <c r="F11" i="23" s="1"/>
  <c r="G17" i="39" s="1"/>
  <c r="E11" i="23"/>
  <c r="F17" i="39" s="1"/>
  <c r="E7" i="20"/>
  <c r="C12" i="23"/>
  <c r="D18" i="39" s="1"/>
  <c r="D52" i="22"/>
  <c r="F6" i="20"/>
  <c r="D10" i="23"/>
  <c r="E16" i="39" s="1"/>
  <c r="E51" i="22"/>
  <c r="E33" i="22"/>
  <c r="E48" i="22"/>
  <c r="G36" i="22"/>
  <c r="F36" i="22"/>
  <c r="E56" i="22"/>
  <c r="G39" i="22"/>
  <c r="F39" i="22"/>
  <c r="F7" i="20" l="1"/>
  <c r="D12" i="23"/>
  <c r="E18" i="39" s="1"/>
  <c r="G6" i="20"/>
  <c r="F10" i="23" s="1"/>
  <c r="G16" i="39" s="1"/>
  <c r="E10" i="23"/>
  <c r="F16" i="39" s="1"/>
  <c r="E52" i="22"/>
  <c r="G48" i="22"/>
  <c r="F48" i="22"/>
  <c r="G33" i="22"/>
  <c r="F33" i="22"/>
  <c r="G51" i="22"/>
  <c r="F51" i="22"/>
  <c r="G56" i="22"/>
  <c r="F56" i="22"/>
  <c r="G52" i="22" l="1"/>
  <c r="E12" i="23"/>
  <c r="F18" i="39" s="1"/>
  <c r="G7" i="20"/>
  <c r="F12" i="23" s="1"/>
  <c r="G18" i="39" s="1"/>
  <c r="F52" i="22"/>
  <c r="C29" i="19" l="1"/>
  <c r="C6" i="24"/>
  <c r="D40" i="39" s="1"/>
  <c r="C3" i="23"/>
  <c r="D9" i="39" s="1"/>
  <c r="E16" i="25"/>
  <c r="E74" i="39" s="1"/>
  <c r="H275" i="36"/>
  <c r="D3" i="20"/>
  <c r="L35" i="36"/>
  <c r="H7" i="36"/>
  <c r="E7" i="22"/>
  <c r="D20" i="22" s="1"/>
  <c r="I253" i="36"/>
  <c r="H362" i="36"/>
  <c r="H367" i="36" s="1"/>
  <c r="H372" i="36" s="1"/>
  <c r="H377" i="36" s="1"/>
  <c r="H382" i="36" s="1"/>
  <c r="H387" i="36" s="1"/>
  <c r="H392" i="36" s="1"/>
  <c r="H397" i="36" s="1"/>
  <c r="H402" i="36" s="1"/>
  <c r="F297" i="36"/>
  <c r="I20" i="36"/>
  <c r="H31" i="36"/>
  <c r="G21" i="33"/>
  <c r="F12" i="33"/>
  <c r="C12" i="33"/>
  <c r="I136" i="18"/>
  <c r="D23" i="25"/>
  <c r="C30" i="19" l="1"/>
  <c r="F16" i="25"/>
  <c r="F74" i="39" s="1"/>
  <c r="D3" i="23"/>
  <c r="E9" i="39" s="1"/>
  <c r="D6" i="24"/>
  <c r="E40" i="39" s="1"/>
  <c r="E3" i="20"/>
  <c r="O35" i="36"/>
  <c r="J7" i="36"/>
  <c r="F7" i="22"/>
  <c r="E20" i="22" s="1"/>
  <c r="J253" i="36"/>
  <c r="I31" i="36"/>
  <c r="I362" i="36"/>
  <c r="I367" i="36" s="1"/>
  <c r="I372" i="36" s="1"/>
  <c r="I377" i="36" s="1"/>
  <c r="I382" i="36" s="1"/>
  <c r="I387" i="36" s="1"/>
  <c r="I392" i="36" s="1"/>
  <c r="I397" i="36" s="1"/>
  <c r="I402" i="36" s="1"/>
  <c r="F319" i="36"/>
  <c r="H297" i="36"/>
  <c r="I275" i="36"/>
  <c r="L20" i="36"/>
  <c r="K21" i="33"/>
  <c r="F13" i="33"/>
  <c r="C13" i="33"/>
  <c r="H411" i="36"/>
  <c r="H407" i="36"/>
  <c r="J136" i="18"/>
  <c r="C31" i="19" l="1"/>
  <c r="G16" i="25"/>
  <c r="G74" i="39" s="1"/>
  <c r="E3" i="23"/>
  <c r="F9" i="39" s="1"/>
  <c r="E6" i="24"/>
  <c r="F40" i="39" s="1"/>
  <c r="I407" i="36"/>
  <c r="I411" i="36"/>
  <c r="G7" i="22"/>
  <c r="F20" i="22" s="1"/>
  <c r="K253" i="36"/>
  <c r="J31" i="36"/>
  <c r="L7" i="36"/>
  <c r="J362" i="36"/>
  <c r="J367" i="36" s="1"/>
  <c r="J372" i="36" s="1"/>
  <c r="J377" i="36" s="1"/>
  <c r="J382" i="36" s="1"/>
  <c r="J387" i="36" s="1"/>
  <c r="J392" i="36" s="1"/>
  <c r="J397" i="36" s="1"/>
  <c r="J402" i="36" s="1"/>
  <c r="H319" i="36"/>
  <c r="I297" i="36"/>
  <c r="O20" i="36"/>
  <c r="J275" i="36"/>
  <c r="F3" i="20"/>
  <c r="R35" i="36"/>
  <c r="O21" i="33"/>
  <c r="F14" i="33"/>
  <c r="C14" i="33"/>
  <c r="K136" i="18"/>
  <c r="L136" i="18" l="1"/>
  <c r="C32" i="19"/>
  <c r="F6" i="24"/>
  <c r="G40" i="39" s="1"/>
  <c r="H16" i="25"/>
  <c r="H74" i="39" s="1"/>
  <c r="F3" i="23"/>
  <c r="G9" i="39" s="1"/>
  <c r="K362" i="36"/>
  <c r="K367" i="36" s="1"/>
  <c r="K372" i="36" s="1"/>
  <c r="K377" i="36" s="1"/>
  <c r="K382" i="36" s="1"/>
  <c r="K387" i="36" s="1"/>
  <c r="K392" i="36" s="1"/>
  <c r="K397" i="36" s="1"/>
  <c r="K402" i="36" s="1"/>
  <c r="I319" i="36"/>
  <c r="J297" i="36"/>
  <c r="R20" i="36"/>
  <c r="K275" i="36"/>
  <c r="U35" i="36"/>
  <c r="G3" i="20"/>
  <c r="H7" i="22"/>
  <c r="G20" i="22" s="1"/>
  <c r="L253" i="36"/>
  <c r="K31" i="36"/>
  <c r="N7" i="36"/>
  <c r="S21" i="33"/>
  <c r="F15" i="33"/>
  <c r="C15" i="33"/>
  <c r="J411" i="36"/>
  <c r="J407" i="36"/>
  <c r="C32" i="25"/>
  <c r="B34" i="24"/>
  <c r="C65" i="39" s="1"/>
  <c r="K411" i="36" l="1"/>
  <c r="K407" i="36"/>
  <c r="D32" i="25"/>
  <c r="C34" i="24"/>
  <c r="D65" i="39" s="1"/>
  <c r="C16" i="24"/>
  <c r="D48" i="39" s="1"/>
  <c r="D34" i="24" l="1"/>
  <c r="E65" i="39" s="1"/>
  <c r="E32" i="25"/>
  <c r="D16" i="24"/>
  <c r="E48" i="39" s="1"/>
  <c r="C36" i="2"/>
  <c r="F12" i="22" l="1"/>
  <c r="E24" i="22" s="1"/>
  <c r="D5" i="23"/>
  <c r="E11" i="39" s="1"/>
  <c r="E15" i="39" s="1"/>
  <c r="O44" i="39" s="1"/>
  <c r="D14" i="23"/>
  <c r="D13" i="23"/>
  <c r="E19" i="39" s="1"/>
  <c r="E16" i="24"/>
  <c r="F48" i="39" s="1"/>
  <c r="F32" i="25"/>
  <c r="E34" i="24"/>
  <c r="F65" i="39" s="1"/>
  <c r="C37" i="2"/>
  <c r="D11" i="24" l="1"/>
  <c r="E20" i="39"/>
  <c r="E44" i="39" s="1"/>
  <c r="G12" i="22"/>
  <c r="F24" i="22" s="1"/>
  <c r="E5" i="23"/>
  <c r="F11" i="39" s="1"/>
  <c r="F15" i="39" s="1"/>
  <c r="O57" i="39" s="1"/>
  <c r="E13" i="23"/>
  <c r="F19" i="39" s="1"/>
  <c r="E14" i="23"/>
  <c r="C14" i="23"/>
  <c r="E12" i="22"/>
  <c r="C5" i="23"/>
  <c r="D11" i="39" s="1"/>
  <c r="D15" i="39" s="1"/>
  <c r="O24" i="39" s="1"/>
  <c r="C13" i="23"/>
  <c r="D19" i="39" s="1"/>
  <c r="F16" i="24"/>
  <c r="G48" i="39" s="1"/>
  <c r="G32" i="25"/>
  <c r="F34" i="24"/>
  <c r="G65" i="39" s="1"/>
  <c r="D12" i="22"/>
  <c r="B13" i="23"/>
  <c r="C19" i="39" s="1"/>
  <c r="B14" i="23"/>
  <c r="C11" i="24" l="1"/>
  <c r="D20" i="39"/>
  <c r="D44" i="39" s="1"/>
  <c r="E11" i="24"/>
  <c r="F20" i="39"/>
  <c r="F44" i="39" s="1"/>
  <c r="B11" i="24"/>
  <c r="C20" i="39"/>
  <c r="B16" i="23"/>
  <c r="E22" i="39"/>
  <c r="O45" i="39" s="1"/>
  <c r="G13" i="22"/>
  <c r="E18" i="24" s="1"/>
  <c r="F50" i="39" s="1"/>
  <c r="G23" i="22"/>
  <c r="F13" i="22"/>
  <c r="D18" i="24" s="1"/>
  <c r="E50" i="39" s="1"/>
  <c r="D24" i="22"/>
  <c r="C24" i="22"/>
  <c r="D13" i="22"/>
  <c r="B18" i="24" s="1"/>
  <c r="E13" i="22"/>
  <c r="C18" i="24" s="1"/>
  <c r="D50" i="39" s="1"/>
  <c r="F22" i="39" l="1"/>
  <c r="O58" i="39" s="1"/>
  <c r="D22" i="39"/>
  <c r="O25" i="39" s="1"/>
  <c r="C44" i="39"/>
  <c r="C22" i="39"/>
  <c r="O11" i="39" s="1"/>
  <c r="E41" i="39"/>
  <c r="C50" i="39"/>
  <c r="F16" i="22"/>
  <c r="D19" i="24" s="1"/>
  <c r="E51" i="39" s="1"/>
  <c r="H12" i="22"/>
  <c r="F5" i="23"/>
  <c r="G11" i="39" s="1"/>
  <c r="G15" i="39" s="1"/>
  <c r="O70" i="39" s="1"/>
  <c r="F13" i="23"/>
  <c r="G19" i="39" s="1"/>
  <c r="F14" i="23"/>
  <c r="E19" i="19"/>
  <c r="E21" i="19" s="1"/>
  <c r="C47" i="25" s="1"/>
  <c r="D16" i="22"/>
  <c r="B19" i="24" s="1"/>
  <c r="C51" i="39" s="1"/>
  <c r="C9" i="22"/>
  <c r="B23" i="22" s="1"/>
  <c r="D9" i="23"/>
  <c r="D16" i="23" s="1"/>
  <c r="E35" i="25" s="1"/>
  <c r="C9" i="23"/>
  <c r="C16" i="23" s="1"/>
  <c r="D35" i="25" s="1"/>
  <c r="G61" i="22"/>
  <c r="G63" i="22" s="1"/>
  <c r="G33" i="25" s="1"/>
  <c r="F61" i="22"/>
  <c r="H10" i="22"/>
  <c r="F17" i="24" s="1"/>
  <c r="G49" i="39" s="1"/>
  <c r="F23" i="22"/>
  <c r="E61" i="22"/>
  <c r="C23" i="22"/>
  <c r="E10" i="22"/>
  <c r="C17" i="24" s="1"/>
  <c r="D49" i="39" s="1"/>
  <c r="D23" i="22"/>
  <c r="F10" i="22"/>
  <c r="D17" i="24" s="1"/>
  <c r="E49" i="39" s="1"/>
  <c r="E23" i="22"/>
  <c r="G10" i="22"/>
  <c r="E17" i="24" s="1"/>
  <c r="F49" i="39" s="1"/>
  <c r="D61" i="22"/>
  <c r="E52" i="39" l="1"/>
  <c r="E63" i="39" s="1"/>
  <c r="F41" i="39"/>
  <c r="D41" i="39"/>
  <c r="F11" i="24"/>
  <c r="G20" i="39"/>
  <c r="G44" i="39" s="1"/>
  <c r="C41" i="39"/>
  <c r="C46" i="39" s="1"/>
  <c r="O14" i="39" s="1"/>
  <c r="C35" i="25"/>
  <c r="G24" i="22"/>
  <c r="H13" i="22"/>
  <c r="F18" i="24" s="1"/>
  <c r="G50" i="39" s="1"/>
  <c r="C61" i="22"/>
  <c r="E16" i="22"/>
  <c r="C19" i="24" s="1"/>
  <c r="D10" i="22"/>
  <c r="B17" i="24" s="1"/>
  <c r="F9" i="23"/>
  <c r="F16" i="23" s="1"/>
  <c r="G35" i="25" s="1"/>
  <c r="E9" i="23"/>
  <c r="E16" i="23" s="1"/>
  <c r="F35" i="25" s="1"/>
  <c r="G16" i="22"/>
  <c r="E19" i="24" s="1"/>
  <c r="H11" i="25"/>
  <c r="H16" i="22"/>
  <c r="F19" i="24" s="1"/>
  <c r="G51" i="39" s="1"/>
  <c r="C8" i="24"/>
  <c r="D20" i="24"/>
  <c r="D31" i="24" s="1"/>
  <c r="G27" i="19"/>
  <c r="B64" i="22"/>
  <c r="D8" i="24"/>
  <c r="G52" i="39" l="1"/>
  <c r="G63" i="39" s="1"/>
  <c r="E20" i="24"/>
  <c r="E31" i="24" s="1"/>
  <c r="F51" i="39"/>
  <c r="F52" i="39" s="1"/>
  <c r="F63" i="39" s="1"/>
  <c r="C20" i="24"/>
  <c r="C31" i="24" s="1"/>
  <c r="D51" i="39"/>
  <c r="D52" i="39" s="1"/>
  <c r="D63" i="39" s="1"/>
  <c r="C17" i="25"/>
  <c r="C45" i="25" s="1"/>
  <c r="C77" i="39"/>
  <c r="C49" i="39"/>
  <c r="C52" i="39" s="1"/>
  <c r="C63" i="39" s="1"/>
  <c r="B20" i="24"/>
  <c r="B31" i="24" s="1"/>
  <c r="G22" i="39"/>
  <c r="O71" i="39" s="1"/>
  <c r="F20" i="24"/>
  <c r="F31" i="24" s="1"/>
  <c r="B8" i="24"/>
  <c r="B13" i="24" s="1"/>
  <c r="F8" i="24"/>
  <c r="E8" i="24"/>
  <c r="E29" i="19"/>
  <c r="F28" i="19"/>
  <c r="E30" i="19"/>
  <c r="E28" i="19"/>
  <c r="G28" i="19" s="1"/>
  <c r="E31" i="19"/>
  <c r="E32" i="19"/>
  <c r="G41" i="39" l="1"/>
  <c r="D47" i="25"/>
  <c r="D46" i="25"/>
  <c r="D36" i="24"/>
  <c r="E67" i="39" s="1"/>
  <c r="C37" i="24"/>
  <c r="D68" i="39" s="1"/>
  <c r="F29" i="19"/>
  <c r="C18" i="23" s="1"/>
  <c r="D24" i="39" s="1"/>
  <c r="G29" i="19"/>
  <c r="C64" i="22"/>
  <c r="D28" i="19"/>
  <c r="C10" i="20" s="1"/>
  <c r="C13" i="20" s="1"/>
  <c r="G29" i="37" s="1"/>
  <c r="O24" i="37" s="1"/>
  <c r="B37" i="24"/>
  <c r="C68" i="39" s="1"/>
  <c r="C36" i="24"/>
  <c r="D67" i="39" s="1"/>
  <c r="B18" i="23"/>
  <c r="B36" i="24"/>
  <c r="C67" i="39" s="1"/>
  <c r="B19" i="23"/>
  <c r="C19" i="23" l="1"/>
  <c r="C25" i="39"/>
  <c r="B20" i="23"/>
  <c r="B27" i="23" s="1"/>
  <c r="B28" i="23" s="1"/>
  <c r="C24" i="39"/>
  <c r="O26" i="37"/>
  <c r="O27" i="37" s="1"/>
  <c r="P24" i="37"/>
  <c r="B50" i="25"/>
  <c r="C14" i="20"/>
  <c r="D29" i="19"/>
  <c r="D10" i="20" s="1"/>
  <c r="D13" i="20" s="1"/>
  <c r="D14" i="20" s="1"/>
  <c r="F30" i="19"/>
  <c r="D64" i="22"/>
  <c r="G30" i="19"/>
  <c r="C20" i="23"/>
  <c r="C27" i="23" s="1"/>
  <c r="C29" i="23" l="1"/>
  <c r="C28" i="23"/>
  <c r="B29" i="23"/>
  <c r="B30" i="23"/>
  <c r="C26" i="39"/>
  <c r="C33" i="39" s="1"/>
  <c r="D19" i="23"/>
  <c r="D25" i="39"/>
  <c r="D26" i="39" s="1"/>
  <c r="D33" i="39" s="1"/>
  <c r="Q24" i="37"/>
  <c r="Q26" i="37" s="1"/>
  <c r="Q27" i="37" s="1"/>
  <c r="P26" i="37"/>
  <c r="P27" i="37" s="1"/>
  <c r="E64" i="22"/>
  <c r="G31" i="19"/>
  <c r="G32" i="19" s="1"/>
  <c r="F31" i="19"/>
  <c r="C30" i="23"/>
  <c r="D30" i="19"/>
  <c r="E10" i="20" s="1"/>
  <c r="E13" i="20" s="1"/>
  <c r="E14" i="20" s="1"/>
  <c r="D18" i="23"/>
  <c r="O26" i="39" l="1"/>
  <c r="D34" i="39"/>
  <c r="O12" i="39"/>
  <c r="C34" i="39"/>
  <c r="D45" i="39" s="1"/>
  <c r="D46" i="39" s="1"/>
  <c r="O34" i="39" s="1"/>
  <c r="B31" i="23"/>
  <c r="B36" i="23" s="1"/>
  <c r="C69" i="39" s="1"/>
  <c r="C71" i="39" s="1"/>
  <c r="D75" i="39" s="1"/>
  <c r="E45" i="39"/>
  <c r="E46" i="39" s="1"/>
  <c r="O48" i="39" s="1"/>
  <c r="D35" i="39"/>
  <c r="D36" i="39"/>
  <c r="E19" i="23"/>
  <c r="E25" i="39"/>
  <c r="D20" i="23"/>
  <c r="D27" i="23" s="1"/>
  <c r="E24" i="39"/>
  <c r="C36" i="39"/>
  <c r="C35" i="39"/>
  <c r="C68" i="22"/>
  <c r="D68" i="22"/>
  <c r="B62" i="22"/>
  <c r="B63" i="22" s="1"/>
  <c r="B65" i="22" s="1"/>
  <c r="B74" i="22" s="1"/>
  <c r="C12" i="24"/>
  <c r="C13" i="24" s="1"/>
  <c r="C62" i="22"/>
  <c r="C63" i="22" s="1"/>
  <c r="D12" i="24"/>
  <c r="D13" i="24" s="1"/>
  <c r="D31" i="19"/>
  <c r="F10" i="20" s="1"/>
  <c r="F13" i="20" s="1"/>
  <c r="F14" i="20" s="1"/>
  <c r="E18" i="23"/>
  <c r="F64" i="22"/>
  <c r="G64" i="22"/>
  <c r="G65" i="22" s="1"/>
  <c r="F32" i="19"/>
  <c r="D29" i="23" l="1"/>
  <c r="E68" i="22" s="1"/>
  <c r="D28" i="23"/>
  <c r="C37" i="39"/>
  <c r="O13" i="39" s="1"/>
  <c r="E20" i="23"/>
  <c r="E27" i="23" s="1"/>
  <c r="F24" i="39"/>
  <c r="F19" i="23"/>
  <c r="G25" i="39" s="1"/>
  <c r="F25" i="39"/>
  <c r="D30" i="23"/>
  <c r="E26" i="39"/>
  <c r="E33" i="39" s="1"/>
  <c r="D37" i="39"/>
  <c r="O33" i="39" s="1"/>
  <c r="B22" i="22"/>
  <c r="B25" i="22" s="1"/>
  <c r="B57" i="22" s="1"/>
  <c r="C65" i="22"/>
  <c r="C31" i="23"/>
  <c r="D32" i="19"/>
  <c r="G10" i="20" s="1"/>
  <c r="G13" i="20" s="1"/>
  <c r="G14" i="20" s="1"/>
  <c r="F18" i="23"/>
  <c r="O46" i="39" l="1"/>
  <c r="E34" i="39"/>
  <c r="F45" i="39" s="1"/>
  <c r="F46" i="39" s="1"/>
  <c r="O61" i="39" s="1"/>
  <c r="E29" i="23"/>
  <c r="E28" i="23"/>
  <c r="E30" i="23"/>
  <c r="D62" i="22"/>
  <c r="D63" i="22" s="1"/>
  <c r="D65" i="22" s="1"/>
  <c r="F68" i="22"/>
  <c r="E12" i="24"/>
  <c r="E13" i="24" s="1"/>
  <c r="D31" i="23"/>
  <c r="E70" i="22" s="1"/>
  <c r="F20" i="23"/>
  <c r="F27" i="23" s="1"/>
  <c r="G24" i="39"/>
  <c r="G26" i="39" s="1"/>
  <c r="G33" i="39" s="1"/>
  <c r="E35" i="39"/>
  <c r="E36" i="39"/>
  <c r="F26" i="39"/>
  <c r="F33" i="39" s="1"/>
  <c r="B43" i="24"/>
  <c r="D76" i="39" s="1"/>
  <c r="D77" i="39" s="1"/>
  <c r="O15" i="39" s="1"/>
  <c r="C38" i="25"/>
  <c r="B76" i="22"/>
  <c r="C34" i="25"/>
  <c r="C70" i="22"/>
  <c r="C72" i="22" s="1"/>
  <c r="C36" i="25"/>
  <c r="E36" i="25"/>
  <c r="C36" i="23"/>
  <c r="D36" i="25"/>
  <c r="C35" i="23"/>
  <c r="D69" i="22" s="1"/>
  <c r="D70" i="22"/>
  <c r="F29" i="23" l="1"/>
  <c r="G68" i="22" s="1"/>
  <c r="F28" i="23"/>
  <c r="O59" i="39"/>
  <c r="F34" i="39"/>
  <c r="G45" i="39" s="1"/>
  <c r="G46" i="39" s="1"/>
  <c r="O74" i="39" s="1"/>
  <c r="O72" i="39"/>
  <c r="G34" i="39"/>
  <c r="E31" i="23"/>
  <c r="E36" i="23" s="1"/>
  <c r="F62" i="22"/>
  <c r="F63" i="22" s="1"/>
  <c r="F65" i="22" s="1"/>
  <c r="F12" i="24"/>
  <c r="F13" i="24" s="1"/>
  <c r="E62" i="22"/>
  <c r="E63" i="22" s="1"/>
  <c r="E65" i="22" s="1"/>
  <c r="D36" i="23"/>
  <c r="E69" i="39" s="1"/>
  <c r="E71" i="39" s="1"/>
  <c r="F75" i="39" s="1"/>
  <c r="F30" i="23"/>
  <c r="F35" i="39"/>
  <c r="F36" i="39"/>
  <c r="E37" i="39"/>
  <c r="O47" i="39" s="1"/>
  <c r="G35" i="39"/>
  <c r="G36" i="39"/>
  <c r="D35" i="23"/>
  <c r="E69" i="22" s="1"/>
  <c r="E72" i="22" s="1"/>
  <c r="D69" i="39"/>
  <c r="D71" i="39" s="1"/>
  <c r="E75" i="39" s="1"/>
  <c r="C38" i="24"/>
  <c r="C40" i="24" s="1"/>
  <c r="C42" i="24" s="1"/>
  <c r="C74" i="22"/>
  <c r="C22" i="22" s="1"/>
  <c r="D37" i="25"/>
  <c r="F36" i="25"/>
  <c r="B38" i="24"/>
  <c r="B40" i="24" s="1"/>
  <c r="B42" i="24" s="1"/>
  <c r="B44" i="24" s="1"/>
  <c r="D72" i="22"/>
  <c r="E35" i="23" l="1"/>
  <c r="F69" i="22" s="1"/>
  <c r="F70" i="22"/>
  <c r="D38" i="24"/>
  <c r="D40" i="24" s="1"/>
  <c r="D42" i="24" s="1"/>
  <c r="G37" i="39"/>
  <c r="O73" i="39" s="1"/>
  <c r="F37" i="39"/>
  <c r="O60" i="39" s="1"/>
  <c r="F35" i="23"/>
  <c r="G69" i="22" s="1"/>
  <c r="F69" i="39"/>
  <c r="F71" i="39" s="1"/>
  <c r="G75" i="39" s="1"/>
  <c r="F31" i="23"/>
  <c r="F36" i="23" s="1"/>
  <c r="D17" i="25"/>
  <c r="C25" i="22"/>
  <c r="C43" i="24"/>
  <c r="G36" i="25"/>
  <c r="D74" i="22"/>
  <c r="D22" i="22" s="1"/>
  <c r="D25" i="22" s="1"/>
  <c r="E37" i="25"/>
  <c r="E74" i="22"/>
  <c r="E22" i="22" s="1"/>
  <c r="E25" i="22" s="1"/>
  <c r="F37" i="25"/>
  <c r="E38" i="24"/>
  <c r="E40" i="24" s="1"/>
  <c r="E42" i="24" s="1"/>
  <c r="F72" i="22" l="1"/>
  <c r="G37" i="25" s="1"/>
  <c r="G70" i="22"/>
  <c r="G72" i="22" s="1"/>
  <c r="G74" i="22" s="1"/>
  <c r="G22" i="22" s="1"/>
  <c r="G25" i="22" s="1"/>
  <c r="G57" i="22" s="1"/>
  <c r="G76" i="22" s="1"/>
  <c r="F38" i="24"/>
  <c r="F40" i="24" s="1"/>
  <c r="F42" i="24" s="1"/>
  <c r="G69" i="39"/>
  <c r="G71" i="39" s="1"/>
  <c r="H75" i="39" s="1"/>
  <c r="C44" i="24"/>
  <c r="E17" i="25" s="1"/>
  <c r="E76" i="39"/>
  <c r="E77" i="39" s="1"/>
  <c r="O35" i="39" s="1"/>
  <c r="C57" i="22"/>
  <c r="C33" i="25"/>
  <c r="D43" i="24"/>
  <c r="E57" i="22"/>
  <c r="E33" i="25"/>
  <c r="E43" i="24"/>
  <c r="D57" i="22"/>
  <c r="D33" i="25"/>
  <c r="F74" i="22" l="1"/>
  <c r="F22" i="22" s="1"/>
  <c r="F43" i="24" s="1"/>
  <c r="H76" i="39" s="1"/>
  <c r="H77" i="39" s="1"/>
  <c r="O75" i="39" s="1"/>
  <c r="D44" i="24"/>
  <c r="F17" i="25" s="1"/>
  <c r="F76" i="39"/>
  <c r="F77" i="39" s="1"/>
  <c r="O49" i="39" s="1"/>
  <c r="E44" i="24"/>
  <c r="G17" i="25" s="1"/>
  <c r="G76" i="39"/>
  <c r="G77" i="39" s="1"/>
  <c r="O62" i="39" s="1"/>
  <c r="F33" i="25"/>
  <c r="C76" i="22"/>
  <c r="D34" i="25"/>
  <c r="D38" i="25"/>
  <c r="D76" i="22"/>
  <c r="E38" i="25"/>
  <c r="E34" i="25"/>
  <c r="E76" i="22"/>
  <c r="F34" i="25"/>
  <c r="F38" i="25"/>
  <c r="F44" i="24" l="1"/>
  <c r="H17" i="25" s="1"/>
  <c r="F25" i="22"/>
  <c r="F57" i="22" s="1"/>
  <c r="G34" i="25" s="1"/>
  <c r="E20" i="25"/>
  <c r="B23" i="25" s="1"/>
  <c r="C39" i="25"/>
  <c r="E19" i="25"/>
  <c r="C79" i="39"/>
  <c r="F76" i="22" l="1"/>
  <c r="G38" i="25"/>
  <c r="O50" i="39"/>
  <c r="O16" i="39"/>
  <c r="O76" i="39"/>
  <c r="O63" i="39"/>
  <c r="O36" i="39"/>
  <c r="B29" i="25"/>
  <c r="B2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H24" authorId="0" shapeId="0" xr:uid="{00000000-0006-0000-0300-000001000000}">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15" authorId="0" shapeId="0" xr:uid="{00000000-0006-0000-0500-000001000000}">
      <text>
        <r>
          <rPr>
            <b/>
            <sz val="9"/>
            <color indexed="81"/>
            <rFont val="Tahoma"/>
            <family val="2"/>
          </rPr>
          <t>Usuario:</t>
        </r>
        <r>
          <rPr>
            <sz val="9"/>
            <color indexed="81"/>
            <rFont val="Tahoma"/>
            <family val="2"/>
          </rPr>
          <t xml:space="preserve">
Se diligencian los datos del primer año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91" authorId="0" shapeId="0" xr:uid="{00000000-0006-0000-0700-000001000000}">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7" authorId="0" shapeId="0" xr:uid="{00000000-0006-0000-0800-000001000000}">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D8" authorId="0" shapeId="0" xr:uid="{00000000-0006-0000-0800-000002000000}">
      <text>
        <r>
          <rPr>
            <b/>
            <sz val="9"/>
            <color indexed="81"/>
            <rFont val="Tahoma"/>
            <family val="2"/>
          </rPr>
          <t>dw0001la CI5:</t>
        </r>
        <r>
          <rPr>
            <sz val="9"/>
            <color indexed="81"/>
            <rFont val="Tahoma"/>
            <family val="2"/>
          </rPr>
          <t xml:space="preserve">
Viene de la hoja de infraestructura</t>
        </r>
      </text>
    </comment>
    <comment ref="D11" authorId="0" shapeId="0" xr:uid="{00000000-0006-0000-0800-000003000000}">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E20" authorId="0" shapeId="0" xr:uid="{00000000-0006-0000-0800-000004000000}">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D24" authorId="0" shapeId="0" xr:uid="{00000000-0006-0000-0800-000005000000}">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4" authorId="0" shapeId="0" xr:uid="{00000000-0006-0000-0900-000001000000}">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B7" authorId="0" shapeId="0" xr:uid="{00000000-0006-0000-0900-000002000000}">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00000000-0006-0000-0B00-000001000000}">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39" authorId="0" shapeId="0" xr:uid="{00000000-0006-0000-0D00-000001000000}">
      <text>
        <r>
          <rPr>
            <b/>
            <sz val="9"/>
            <color indexed="81"/>
            <rFont val="Tahoma"/>
            <family val="2"/>
          </rPr>
          <t>Usuario:</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H9" authorId="0" shapeId="0" xr:uid="{00000000-0006-0000-0E00-00000100000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00000000-0006-0000-0E00-000002000000}">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H23" authorId="1" shapeId="0" xr:uid="{00000000-0006-0000-0E00-000003000000}">
      <text>
        <r>
          <rPr>
            <b/>
            <sz val="9"/>
            <color indexed="81"/>
            <rFont val="Tahoma"/>
            <family val="2"/>
          </rPr>
          <t>Usuario:</t>
        </r>
        <r>
          <rPr>
            <sz val="9"/>
            <color indexed="81"/>
            <rFont val="Tahoma"/>
            <family val="2"/>
          </rPr>
          <t xml:space="preserve">
Vale la pena invertir en el proyecto ya que se obtendra un beneficio mayor.</t>
        </r>
      </text>
    </comment>
    <comment ref="E46" authorId="0" shapeId="0" xr:uid="{00000000-0006-0000-0E00-00000400000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00000000-0006-0000-0E00-000005000000}">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00000000-0006-0000-0E00-000006000000}">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7" authorId="0" shapeId="0" xr:uid="{00000000-0006-0000-0F00-000001000000}">
      <text>
        <r>
          <rPr>
            <b/>
            <sz val="9"/>
            <color indexed="81"/>
            <rFont val="Tahoma"/>
            <family val="2"/>
          </rPr>
          <t>Usuario:</t>
        </r>
        <r>
          <rPr>
            <sz val="9"/>
            <color indexed="81"/>
            <rFont val="Tahoma"/>
            <family val="2"/>
          </rPr>
          <t xml:space="preserve">
</t>
        </r>
        <r>
          <rPr>
            <b/>
            <sz val="9"/>
            <color indexed="81"/>
            <rFont val="Tahoma"/>
            <family val="2"/>
          </rPr>
          <t>Este dato se puede modificar una vez se realicen las tablas del análisis de sensibilidad por cada año.</t>
        </r>
        <r>
          <rPr>
            <sz val="9"/>
            <color indexed="81"/>
            <rFont val="Tahoma"/>
            <family val="2"/>
          </rPr>
          <t xml:space="preserve">
Si se modifica es para la comprobación de datos en las tablas respectivas colocando el mismo porcentaje (variación) que tienen las tablas.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<sst xmlns="http://schemas.openxmlformats.org/spreadsheetml/2006/main" count="1942" uniqueCount="1238">
  <si>
    <t>INGRESE EL NOMBRE DEL EMPRENDIMIENTO</t>
  </si>
  <si>
    <t>PRUEBA</t>
  </si>
  <si>
    <t>BIENVENIDO AL SIMULADOR FINANCIERO PARA EMPRENDIMIENTOS DEL LABORATORIO FINTRADE</t>
  </si>
  <si>
    <t>1.       Este simulador financiero está formado por 15 hojas cada una con un propósito especifico, en las hojas solo algunos datos son modificables, el simulador financiero para emprendimientos se ha establecido para un periodo de 5 años y un total de No de productos o servicios.</t>
  </si>
  <si>
    <r>
      <t xml:space="preserve">2.       En la hoja </t>
    </r>
    <r>
      <rPr>
        <b/>
        <sz val="14"/>
        <color theme="1"/>
        <rFont val="Calibri"/>
        <family val="2"/>
        <scheme val="minor"/>
      </rPr>
      <t xml:space="preserve">BASES </t>
    </r>
    <r>
      <rPr>
        <sz val="14"/>
        <color theme="1"/>
        <rFont val="Calibri"/>
        <family val="2"/>
        <scheme val="minor"/>
      </rPr>
      <t>esta diseñada para incluir una información macroeconómica, como Inflación, IPP, DTF, que se utiliza como base para ajuste de los precios de venta, costos y gastos del emprendimiento, igualmente se debe definir los datos de la deuda con la que se financiará el emprendimiento, los datos de la carga prestacional le permitirán calcular el valor de la nómina cuando hay contratación de planta o de nómina del personal que trabajará en la futura empresa.</t>
    </r>
  </si>
  <si>
    <r>
      <t xml:space="preserve">3.       Posteriormente encontrará la hoja de </t>
    </r>
    <r>
      <rPr>
        <b/>
        <sz val="14"/>
        <color theme="1"/>
        <rFont val="Calibri"/>
        <family val="2"/>
        <scheme val="minor"/>
      </rPr>
      <t>PRODUCTO Y/O SERVICIO</t>
    </r>
    <r>
      <rPr>
        <sz val="14"/>
        <color theme="1"/>
        <rFont val="Calibri"/>
        <family val="2"/>
        <scheme val="minor"/>
      </rPr>
      <t xml:space="preserve">, teniendo en cuenta la información obtenida en su estudio de mercado ya que deberá haber obtenido la proyección de ventas dentro de su mercado objetivo para cada uno de sus productos o servicios y solo deberá transcribir el valor de esta dentro de la hoja. Debe tener en cuenta que el simulador financiero trae el crecimiento en ventas de forma porcentual al pasar de un año a otro, de forma 1%, 2%, 3%, 4% para cada año dentro de la simulación. </t>
    </r>
  </si>
  <si>
    <t>Usted puede ajustar de forma manual de acuerdo con el comportamiento especifico de su producto o servicio en el mercado, podrá usar porcentajes negativos para representar una caída o baja en las ventas de un año con respecto al año inmediatamente anterior. Si no se puede describir de forma exacta por medio de ajuste porcentuales, usted podrá digitar la proyección de ventas de forma manual para cada uno de los años de la simulación.</t>
  </si>
  <si>
    <t xml:space="preserve">La justificación de la proyección de ventas deberá darse de forma concreta dentro de las conclusiones del estudio de mercado del emprendimiento. </t>
  </si>
  <si>
    <r>
      <t xml:space="preserve">4.       En el diligenciamiento de la hoja de </t>
    </r>
    <r>
      <rPr>
        <b/>
        <sz val="14"/>
        <color theme="1"/>
        <rFont val="Calibri"/>
        <family val="2"/>
        <scheme val="minor"/>
      </rPr>
      <t>COSTOS DE PRODUCCIÓN</t>
    </r>
    <r>
      <rPr>
        <sz val="14"/>
        <color theme="1"/>
        <rFont val="Calibri"/>
        <family val="2"/>
        <scheme val="minor"/>
      </rPr>
      <t xml:space="preserve"> encontrará un espacio para la digitación de los costos de producción. Dentro de los costos de producción encontrará un espacio para los siguientes datos de cada producto o servicio: Materia prima, Mano de Obra Directa y Costos Indirectos de Fabricación. </t>
    </r>
  </si>
  <si>
    <r>
      <t xml:space="preserve">·        </t>
    </r>
    <r>
      <rPr>
        <i/>
        <sz val="14"/>
        <color rgb="FF00B0F0"/>
        <rFont val="Calibri"/>
        <family val="2"/>
        <scheme val="minor"/>
      </rPr>
      <t>Materia prima</t>
    </r>
    <r>
      <rPr>
        <sz val="14"/>
        <color rgb="FF00B0F0"/>
        <rFont val="Calibri"/>
        <family val="2"/>
        <scheme val="minor"/>
      </rPr>
      <t xml:space="preserve">: </t>
    </r>
    <r>
      <rPr>
        <sz val="14"/>
        <color theme="1"/>
        <rFont val="Calibri"/>
        <family val="2"/>
        <scheme val="minor"/>
      </rPr>
      <t>Costo de los materiales que conforma de forma directa el producto, varían directamente de acuerdo con el volumen producido o comercializado, es decir asuma que, si la producción o la comercialización es cero, el costo que debe asumir por Materia prima también será cero. Otro concepto que le puede ayudar es: la materia prima se puede cuantificar fácilmente en el producto terminado, por ejemplo, en una camisa usted puede determinar fácilmente cuantos metros de tela se gastaron o el número de botones.</t>
    </r>
  </si>
  <si>
    <r>
      <t xml:space="preserve">·        </t>
    </r>
    <r>
      <rPr>
        <i/>
        <sz val="14"/>
        <color rgb="FF00B0F0"/>
        <rFont val="Calibri"/>
        <family val="2"/>
        <scheme val="minor"/>
      </rPr>
      <t>Mano de obra directa</t>
    </r>
    <r>
      <rPr>
        <sz val="14"/>
        <color theme="1"/>
        <rFont val="Calibri"/>
        <family val="2"/>
        <scheme val="minor"/>
      </rPr>
      <t>: La mano de obra directa sigue el mismo principio de la materia prima, es decir se puede identificar de forma concreta el número de horas finales de mano de obra asignadas al producto o a la prestación del servicio, tenga en cuenta que debe ser variable en función de las unidades producidas, comercializadas o del servicio prestado.</t>
    </r>
  </si>
  <si>
    <r>
      <t xml:space="preserve">·        </t>
    </r>
    <r>
      <rPr>
        <i/>
        <sz val="14"/>
        <color rgb="FF00B0F0"/>
        <rFont val="Calibri"/>
        <family val="2"/>
        <scheme val="minor"/>
      </rPr>
      <t>Los Costos indirectos de Fabricación</t>
    </r>
    <r>
      <rPr>
        <sz val="14"/>
        <color rgb="FF00B0F0"/>
        <rFont val="Calibri"/>
        <family val="2"/>
        <scheme val="minor"/>
      </rPr>
      <t xml:space="preserve">: </t>
    </r>
    <r>
      <rPr>
        <sz val="14"/>
        <color theme="1"/>
        <rFont val="Calibri"/>
        <family val="2"/>
        <scheme val="minor"/>
      </rPr>
      <t>son costos de mano de obra o de materiales que no pueden ser cuantificados de forma sencilla en el producto final o en el servicio prestado, un claro ejemplo de este tipo de costos son la mano de obra de un supervisor de planta, o los servicios de energía eléctrica, es claro que ambos son necesarios en el proceso productivo pero son muy difíciles de cuantificar en el producto final, sin embargo se debe seguir el mismo principio de los dos casos anteriores, deben variar en función de la producción, las unidades comercializadas o el servicio prestado. De lo contrario se consideran costos fijos del periodo.</t>
    </r>
  </si>
  <si>
    <r>
      <t xml:space="preserve">5.    En la hoja de trabajo </t>
    </r>
    <r>
      <rPr>
        <b/>
        <sz val="14"/>
        <color theme="1"/>
        <rFont val="Calibri"/>
        <family val="2"/>
        <scheme val="minor"/>
      </rPr>
      <t>CTOS VS ING OPER – INV INFRAEST,</t>
    </r>
    <r>
      <rPr>
        <sz val="14"/>
        <color theme="1"/>
        <rFont val="Calibri"/>
        <family val="2"/>
        <scheme val="minor"/>
      </rPr>
      <t xml:space="preserve"> encontrará un resumen de los ingresos y costos operacionales digitados en las hojas de cálculo de producto y/o servicio y de costos de producción, es importante tener en cuenta que los ingresos sean superiores a los costos tanto al nivel total como por cada línea de producto. </t>
    </r>
  </si>
  <si>
    <r>
      <t xml:space="preserve">En la parte inferior encontrará el espacio para digitar datos relacionados con la inversión en infraestructura del emprendimiento, primero por los activos no depreciables: Terrenos, luego por la inversión en Edificios e Instalaciones, tenga en cuenta que se puede realizar inversiones en activos a lo largo de toda la vida del emprendimiento, también que los periodos de depreciación de los activos son definidos en la hoja de </t>
    </r>
    <r>
      <rPr>
        <b/>
        <sz val="14"/>
        <color theme="1"/>
        <rFont val="Calibri"/>
        <family val="2"/>
        <scheme val="minor"/>
      </rPr>
      <t>BASES</t>
    </r>
    <r>
      <rPr>
        <sz val="14"/>
        <color theme="1"/>
        <rFont val="Calibri"/>
        <family val="2"/>
        <scheme val="minor"/>
      </rPr>
      <t xml:space="preserve"> de la simulación financiera, los cálculos de la depreciación y amortización son realizados por el simulador de forma automática y llevados al Balance y Estado de Resultados proyectados según corresponda. </t>
    </r>
  </si>
  <si>
    <r>
      <t xml:space="preserve">6. Cuando se haya verificado que los costos de producción son inferiores a sus ingresos operacionales, es decir que hay suficiente margen de contribución y haya digitado la información relacionada con la inversión en activos necesarios para el funcionamiento del emprendimiento, podrá diligenciar la hoja </t>
    </r>
    <r>
      <rPr>
        <b/>
        <sz val="14"/>
        <color theme="1"/>
        <rFont val="Calibri"/>
        <family val="2"/>
        <scheme val="minor"/>
      </rPr>
      <t xml:space="preserve">GTOS ADTIVO Y VTAS – CTOS FIJOS, </t>
    </r>
    <r>
      <rPr>
        <sz val="14"/>
        <color theme="1"/>
        <rFont val="Calibri"/>
        <family val="2"/>
        <scheme val="minor"/>
      </rPr>
      <t xml:space="preserve">donde incluirá la información de las nóminas de los trabajadores de planta y de contratación por honorarios de las áreas de ventas, administrativa y de producción, debe corresponder a los sueldos del personal cuya asignación salarial no se mueva en función de la producción, ventas o de la prestación del servicio, es decir es un costo fijo. 
</t>
    </r>
  </si>
  <si>
    <t>También deberá diligenciar la información relacionada con los gastos administrativos como arrendamientos, servicios públicos del área administrativa, servicios de telefonía, etc. Por último, ingresará los presupuestos de inversión en la estrategia de mercado del emprendimiento.</t>
  </si>
  <si>
    <r>
      <t xml:space="preserve">7.   En la siguiente hoja </t>
    </r>
    <r>
      <rPr>
        <b/>
        <sz val="14"/>
        <color theme="1"/>
        <rFont val="Calibri"/>
        <family val="2"/>
        <scheme val="minor"/>
      </rPr>
      <t>NECESIDADES DE FINANCIACIÓN</t>
    </r>
    <r>
      <rPr>
        <sz val="14"/>
        <color theme="1"/>
        <rFont val="Calibri"/>
        <family val="2"/>
        <scheme val="minor"/>
      </rPr>
      <t xml:space="preserve">, debe diligenciar la información relacionada con la financiación para poner en funcionamiento el emprendimiento, lo cual tiene dos opciones la financiación total con deuda o la financiación  compartida entre deuda y aporte de capital de los socios, el simulador orienta exactamente donde debe diligenciar los valores, deberá definir las necesidades de capital de trabajo, ya que ese dinero es el que usted necesitará para financiar la operación del emprendimiento hasta que empiece a recibir los primeros ingresos producto de las ventas del producto o servicio. </t>
    </r>
  </si>
  <si>
    <t xml:space="preserve">8. En las próximas 6 hojas de cálculo no requiere de la digitación de datos por parte del emprendedor, son resultados de la proyección interna del simulador, su utilidad radica en la interpretación de la información allí consignada. </t>
  </si>
  <si>
    <r>
      <t xml:space="preserve">El </t>
    </r>
    <r>
      <rPr>
        <b/>
        <sz val="14"/>
        <color theme="1"/>
        <rFont val="Calibri"/>
        <family val="2"/>
        <scheme val="minor"/>
      </rPr>
      <t>CUADRO DE COSTOS Y GASTOS FIJOS</t>
    </r>
    <r>
      <rPr>
        <sz val="14"/>
        <color theme="1"/>
        <rFont val="Calibri"/>
        <family val="2"/>
        <scheme val="minor"/>
      </rPr>
      <t xml:space="preserve"> permite revisar de manera previa la Utilidad antes de Impuesto e Intereses (UAII) del emprendimiento con esta información podrá conocer si el emprendimiento va por buen camino, tiene una ayuda gráfica que le permitirá interpretar de forma más fácil los resultados. </t>
    </r>
  </si>
  <si>
    <r>
      <t xml:space="preserve">La hoja de </t>
    </r>
    <r>
      <rPr>
        <b/>
        <sz val="14"/>
        <color theme="1"/>
        <rFont val="Calibri"/>
        <family val="2"/>
        <scheme val="minor"/>
      </rPr>
      <t>PUNTO DE EQUILIBRIO</t>
    </r>
    <r>
      <rPr>
        <sz val="14"/>
        <color theme="1"/>
        <rFont val="Calibri"/>
        <family val="2"/>
        <scheme val="minor"/>
      </rPr>
      <t xml:space="preserve"> muestra las unidades que deben ser producidas de cada tipo de referencia de producto y servicio, posee una ayuda gráfica para facilitar su interpretación. </t>
    </r>
  </si>
  <si>
    <r>
      <t xml:space="preserve">La hoja de </t>
    </r>
    <r>
      <rPr>
        <b/>
        <sz val="14"/>
        <color theme="1"/>
        <rFont val="Calibri"/>
        <family val="2"/>
        <scheme val="minor"/>
      </rPr>
      <t>Balance, Estado de Resultados y Flujo de Caja</t>
    </r>
    <r>
      <rPr>
        <sz val="14"/>
        <color theme="1"/>
        <rFont val="Calibri"/>
        <family val="2"/>
        <scheme val="minor"/>
      </rPr>
      <t xml:space="preserve"> presentan los estados financieros proyectados del emprendimiento para los cinco años de vida. </t>
    </r>
  </si>
  <si>
    <r>
      <t xml:space="preserve">9. En la hoja </t>
    </r>
    <r>
      <rPr>
        <b/>
        <sz val="14"/>
        <color theme="1"/>
        <rFont val="Calibri"/>
        <family val="2"/>
        <scheme val="minor"/>
      </rPr>
      <t>Análisis de Flujo de Caja y VPN</t>
    </r>
    <r>
      <rPr>
        <sz val="14"/>
        <color theme="1"/>
        <rFont val="Calibri"/>
        <family val="2"/>
        <scheme val="minor"/>
      </rPr>
      <t xml:space="preserve"> presenta el análisis final de la viabilidad financiera del emprendimiento, la forma de interpretación de los resultados cuenta con ayudas gráficas para mejorar su comprensión al respecto.</t>
    </r>
  </si>
  <si>
    <r>
      <t xml:space="preserve">10. En la hoja </t>
    </r>
    <r>
      <rPr>
        <b/>
        <sz val="14"/>
        <color theme="1"/>
        <rFont val="Calibri"/>
        <family val="2"/>
        <scheme val="minor"/>
      </rPr>
      <t>Análisis de Sensibilidad</t>
    </r>
    <r>
      <rPr>
        <sz val="14"/>
        <color theme="1"/>
        <rFont val="Calibri"/>
        <family val="2"/>
        <scheme val="minor"/>
      </rPr>
      <t xml:space="preserve"> se presenta los distintos escenarios posibles del emprendimiento, tomando en consideración cambios en el incremento de las ventas. </t>
    </r>
  </si>
  <si>
    <t>  Es recomendable usar copias de seguridad en el diligenciamiento del simulador financiero, puede enviarlas a su correo electrónico o guardarlas en una memora USB de modo que si su equipo se ve afectado por un virus informático o simplemente falla, usted no pierda la información que ha construido hasta el momento, es también muy útil mantener una copia de seguridad del simulador vacía (sin ningún dato) por si desea realizar el proceso de evaluación de otro plan de negocio y no desea verse confundido con los datos del que ya digitó.</t>
  </si>
  <si>
    <t xml:space="preserve">Nombre del Emprendimiento </t>
  </si>
  <si>
    <t>Digite el nombre de su emprendimiento</t>
  </si>
  <si>
    <t>VARIABLES MACROECONOMICAS</t>
  </si>
  <si>
    <t>AÑO 0</t>
  </si>
  <si>
    <t>AÑO 1</t>
  </si>
  <si>
    <t>AÑO 2</t>
  </si>
  <si>
    <t>AÑO 3</t>
  </si>
  <si>
    <t>AÑO 4</t>
  </si>
  <si>
    <t>AÑO 5</t>
  </si>
  <si>
    <t>ÍNDICE DE INFLACIÓN</t>
  </si>
  <si>
    <t>ÍNDICE DE DEVALUACIÓN</t>
  </si>
  <si>
    <t>IPP</t>
  </si>
  <si>
    <t>IBR E.A.</t>
  </si>
  <si>
    <t xml:space="preserve">IMPUESTO GMF </t>
  </si>
  <si>
    <t>IMPUESTO DE RENTA Y COMPLEMENTARIOS</t>
  </si>
  <si>
    <t xml:space="preserve">CARGA PRESTACIONAL MENSUAL </t>
  </si>
  <si>
    <t>IMPUESTO DE INDUSTRIA Y COMERCIO</t>
  </si>
  <si>
    <t>PRESTACIONES SOCIALES</t>
  </si>
  <si>
    <t>CESANTÍAS</t>
  </si>
  <si>
    <t xml:space="preserve">PRIMA DE SERVICIOS </t>
  </si>
  <si>
    <t>VACACIONES</t>
  </si>
  <si>
    <t xml:space="preserve">TASA DE RENDIMIENTO ESPERADA POR LOS EMPRENDEDORES </t>
  </si>
  <si>
    <t xml:space="preserve">INTERESES SOBRE CENTÍAS </t>
  </si>
  <si>
    <t xml:space="preserve">SUBTOTAL PRESTACIONES </t>
  </si>
  <si>
    <t>DEUDA</t>
  </si>
  <si>
    <t xml:space="preserve">APORTES PARAFISCALES </t>
  </si>
  <si>
    <t xml:space="preserve">PERÍODO DE GRACIA </t>
  </si>
  <si>
    <t>-</t>
  </si>
  <si>
    <t>SENA</t>
  </si>
  <si>
    <t>PLAZO TOATL A LA DEUDA DE UN AÑO</t>
  </si>
  <si>
    <t xml:space="preserve">CAJA DE COMPESACIÓN </t>
  </si>
  <si>
    <t>PUNTOS POR ENCIMA DEL IBR</t>
  </si>
  <si>
    <t xml:space="preserve">ICBF </t>
  </si>
  <si>
    <t xml:space="preserve">SUBTOTAL PARAFISCALES </t>
  </si>
  <si>
    <t xml:space="preserve">SEGURIDAD SOCIAL </t>
  </si>
  <si>
    <t>PENSIÓN</t>
  </si>
  <si>
    <t xml:space="preserve">VIDA ÚTIL DE ACTIVOS DEPRECIABLES Y/O AMORTIZABLES </t>
  </si>
  <si>
    <t>SALUD</t>
  </si>
  <si>
    <t>CONSTRUCCIONES Y EDIFICACIONES</t>
  </si>
  <si>
    <t>DEPRECIAICIÓN</t>
  </si>
  <si>
    <t>RIESGO PROFESIONAL</t>
  </si>
  <si>
    <t xml:space="preserve">MAQUINARIA Y  EQUIPO DE OPERACIÓN </t>
  </si>
  <si>
    <t xml:space="preserve">SUBTOTAL SEGURIDAD </t>
  </si>
  <si>
    <t xml:space="preserve">MUEBLES Y ENSERES </t>
  </si>
  <si>
    <t xml:space="preserve">TOTAL CARGA PRESTACIONAL </t>
  </si>
  <si>
    <t xml:space="preserve">EQUIPO Y TRANSPORTE </t>
  </si>
  <si>
    <t>PAGINA DONDE PUEDEN CONSEGUIR 
LA INFORMACIÓN.</t>
  </si>
  <si>
    <t>EQUIPO DE OFICINA</t>
  </si>
  <si>
    <t>SEMOVIENTES</t>
  </si>
  <si>
    <t xml:space="preserve">CULTIVOS </t>
  </si>
  <si>
    <t>ACTIVOS DIFERIDOS</t>
  </si>
  <si>
    <t>AMORTIZACIÓN</t>
  </si>
  <si>
    <t xml:space="preserve">PROYECCIÓN DE VENTAS </t>
  </si>
  <si>
    <t>IVA</t>
  </si>
  <si>
    <t xml:space="preserve">AJUSTE DE PRECIOS POR MEDIO DE LA INFLACIÓN </t>
  </si>
  <si>
    <t xml:space="preserve">AÑO </t>
  </si>
  <si>
    <t xml:space="preserve">Porcentaje de crecimiento de ventas </t>
  </si>
  <si>
    <t>No aplica</t>
  </si>
  <si>
    <t xml:space="preserve">CÓDIGO DEL PRODUCTO O SERVICIO </t>
  </si>
  <si>
    <t xml:space="preserve">NOMBRE DEL PRODUCTO O SERVICIO </t>
  </si>
  <si>
    <r>
      <t xml:space="preserve">UNIDADES PRODUCIDAS </t>
    </r>
    <r>
      <rPr>
        <u/>
        <sz val="12"/>
        <color theme="1"/>
        <rFont val="Times New Roman"/>
        <family val="1"/>
      </rPr>
      <t>AÑO 1</t>
    </r>
  </si>
  <si>
    <r>
      <t>PRECIO DE VENTA</t>
    </r>
    <r>
      <rPr>
        <u/>
        <sz val="12"/>
        <color theme="1"/>
        <rFont val="Times New Roman"/>
        <family val="1"/>
      </rPr>
      <t xml:space="preserve"> AÑO 1</t>
    </r>
  </si>
  <si>
    <r>
      <t xml:space="preserve">VENTA ANUAL </t>
    </r>
    <r>
      <rPr>
        <u/>
        <sz val="12"/>
        <color theme="1"/>
        <rFont val="Times New Roman"/>
        <family val="1"/>
      </rPr>
      <t>AÑO 1</t>
    </r>
  </si>
  <si>
    <r>
      <t xml:space="preserve">UNIDADES PRODUCIDAS </t>
    </r>
    <r>
      <rPr>
        <u/>
        <sz val="12"/>
        <color theme="1"/>
        <rFont val="Times New Roman"/>
        <family val="1"/>
      </rPr>
      <t>AÑO 2</t>
    </r>
  </si>
  <si>
    <r>
      <t xml:space="preserve">PRECIO DE VENTA </t>
    </r>
    <r>
      <rPr>
        <u/>
        <sz val="12"/>
        <color theme="1"/>
        <rFont val="Times New Roman"/>
        <family val="1"/>
      </rPr>
      <t>AÑO 2</t>
    </r>
  </si>
  <si>
    <r>
      <t xml:space="preserve">VENTA ANUAL </t>
    </r>
    <r>
      <rPr>
        <u/>
        <sz val="12"/>
        <color theme="1"/>
        <rFont val="Times New Roman"/>
        <family val="1"/>
      </rPr>
      <t>AÑO 2</t>
    </r>
  </si>
  <si>
    <r>
      <t xml:space="preserve">CAMBIO PORCENTUAL EN UNIDADES VENDIDAS </t>
    </r>
    <r>
      <rPr>
        <u/>
        <sz val="12"/>
        <color theme="1"/>
        <rFont val="Times New Roman"/>
        <family val="1"/>
      </rPr>
      <t>AÑO 2</t>
    </r>
  </si>
  <si>
    <r>
      <t xml:space="preserve">UNIDADES PRODUCIDAS </t>
    </r>
    <r>
      <rPr>
        <u/>
        <sz val="12"/>
        <color theme="1"/>
        <rFont val="Times New Roman"/>
        <family val="1"/>
      </rPr>
      <t>AÑO 3</t>
    </r>
  </si>
  <si>
    <r>
      <t>PRECIO DE VENTA</t>
    </r>
    <r>
      <rPr>
        <u/>
        <sz val="12"/>
        <color theme="1"/>
        <rFont val="Times New Roman"/>
        <family val="1"/>
      </rPr>
      <t xml:space="preserve"> AÑO 3</t>
    </r>
  </si>
  <si>
    <r>
      <t xml:space="preserve">VENTA ANUAL </t>
    </r>
    <r>
      <rPr>
        <u/>
        <sz val="12"/>
        <color theme="1"/>
        <rFont val="Times New Roman"/>
        <family val="1"/>
      </rPr>
      <t>AÑO 3</t>
    </r>
  </si>
  <si>
    <t>CAMBIO PORCENTUAL EN UNIDADES VENDIDAS AÑO 3</t>
  </si>
  <si>
    <r>
      <t xml:space="preserve">UNIDADES PRODUCIDAS </t>
    </r>
    <r>
      <rPr>
        <u/>
        <sz val="12"/>
        <color theme="1"/>
        <rFont val="Times New Roman"/>
        <family val="1"/>
      </rPr>
      <t>AÑO 4</t>
    </r>
  </si>
  <si>
    <r>
      <t xml:space="preserve">PRECIO DE VENTA </t>
    </r>
    <r>
      <rPr>
        <u/>
        <sz val="12"/>
        <color theme="1"/>
        <rFont val="Times New Roman"/>
        <family val="1"/>
      </rPr>
      <t>AÑO 4</t>
    </r>
  </si>
  <si>
    <r>
      <t xml:space="preserve">VENTA ANUAL </t>
    </r>
    <r>
      <rPr>
        <u/>
        <sz val="12"/>
        <color theme="1"/>
        <rFont val="Times New Roman"/>
        <family val="1"/>
      </rPr>
      <t>AÑO 4</t>
    </r>
  </si>
  <si>
    <t>CAMBIO PORCENTUAL EN UNIDADES VENDIDAS AÑO 4</t>
  </si>
  <si>
    <r>
      <t xml:space="preserve">UNIDADES PRODUCIDAS </t>
    </r>
    <r>
      <rPr>
        <u/>
        <sz val="12"/>
        <color theme="1"/>
        <rFont val="Times New Roman"/>
        <family val="1"/>
      </rPr>
      <t>AÑO 5</t>
    </r>
  </si>
  <si>
    <r>
      <t xml:space="preserve">PRECIO DE VENTA </t>
    </r>
    <r>
      <rPr>
        <u/>
        <sz val="12"/>
        <color theme="1"/>
        <rFont val="Times New Roman"/>
        <family val="1"/>
      </rPr>
      <t>AÑO 5</t>
    </r>
  </si>
  <si>
    <r>
      <t xml:space="preserve">VENTA ANUAL </t>
    </r>
    <r>
      <rPr>
        <u/>
        <sz val="12"/>
        <color theme="1"/>
        <rFont val="Times New Roman"/>
        <family val="1"/>
      </rPr>
      <t>AÑO 5</t>
    </r>
  </si>
  <si>
    <t>CAMBIO PORCENTUAL EN UNIDADES VENDIDAS AÑO 5</t>
  </si>
  <si>
    <t>TOTAL VENTAS ANUALES</t>
  </si>
  <si>
    <t xml:space="preserve">TOTAL IMPUESTO DE IVA </t>
  </si>
  <si>
    <t xml:space="preserve">TOTAL VENTAS MÁS IVA </t>
  </si>
  <si>
    <t>PLAN DE NEGOCIO</t>
  </si>
  <si>
    <t xml:space="preserve">COSTOS VARIABLES GENERALES DEL PRODUCTO Y/O SERVICIO </t>
  </si>
  <si>
    <t xml:space="preserve">MATERIA PRIMA E INSUMOS </t>
  </si>
  <si>
    <t xml:space="preserve">UNIDAD DE MEDIDA </t>
  </si>
  <si>
    <t xml:space="preserve">COSTO UNITARIO PARA EL AÑO 1 </t>
  </si>
  <si>
    <t xml:space="preserve">CANTIDADES A UTILIZAR </t>
  </si>
  <si>
    <t xml:space="preserve">CÓDIGO DEL PRODUCTO Y/O SERVICIO </t>
  </si>
  <si>
    <t xml:space="preserve">NOMBRE DEL PRODUCTO Y/O SERVICIO </t>
  </si>
  <si>
    <t>SUBTOTAL</t>
  </si>
  <si>
    <t xml:space="preserve">COSTO UNITARIO </t>
  </si>
  <si>
    <t xml:space="preserve">COSTO TOTAL ANUAL </t>
  </si>
  <si>
    <t>COSTO UNITARIO</t>
  </si>
  <si>
    <t>COSTO TOTAL ANUAL</t>
  </si>
  <si>
    <t>Columna1</t>
  </si>
  <si>
    <r>
      <t xml:space="preserve">UNIDADES PRODUCIDAS </t>
    </r>
    <r>
      <rPr>
        <u/>
        <sz val="12"/>
        <rFont val="Times New Roman"/>
        <family val="1"/>
      </rPr>
      <t xml:space="preserve">AÑO 1 </t>
    </r>
  </si>
  <si>
    <r>
      <rPr>
        <i/>
        <sz val="12"/>
        <rFont val="Times New Roman"/>
        <family val="1"/>
      </rPr>
      <t xml:space="preserve">CANTIDADES A UTILIZAR EN EL </t>
    </r>
    <r>
      <rPr>
        <i/>
        <u/>
        <sz val="12"/>
        <rFont val="Times New Roman"/>
        <family val="1"/>
      </rPr>
      <t>AÑO 1</t>
    </r>
  </si>
  <si>
    <r>
      <t xml:space="preserve">CAMBIO PORCENTUAL EN UNIDADES VENDIDAS </t>
    </r>
    <r>
      <rPr>
        <b/>
        <u/>
        <sz val="12"/>
        <rFont val="Times New Roman"/>
        <family val="1"/>
      </rPr>
      <t>AÑO 2</t>
    </r>
  </si>
  <si>
    <r>
      <rPr>
        <i/>
        <sz val="12"/>
        <rFont val="Times New Roman"/>
        <family val="1"/>
      </rPr>
      <t xml:space="preserve">CANTIDADES A UTILIZAR EN EL </t>
    </r>
    <r>
      <rPr>
        <i/>
        <u/>
        <sz val="12"/>
        <rFont val="Times New Roman"/>
        <family val="1"/>
      </rPr>
      <t>AÑO 2</t>
    </r>
  </si>
  <si>
    <r>
      <t xml:space="preserve">CAMBIO PORCENTUAL EN UNIDADES VENDIDAS </t>
    </r>
    <r>
      <rPr>
        <b/>
        <u/>
        <sz val="12"/>
        <rFont val="Times New Roman"/>
        <family val="1"/>
      </rPr>
      <t>AÑO 3</t>
    </r>
  </si>
  <si>
    <r>
      <rPr>
        <i/>
        <sz val="12"/>
        <rFont val="Times New Roman"/>
        <family val="1"/>
      </rPr>
      <t xml:space="preserve">CANTIDADES A UTILIZAR EN EL </t>
    </r>
    <r>
      <rPr>
        <i/>
        <u/>
        <sz val="12"/>
        <rFont val="Times New Roman"/>
        <family val="1"/>
      </rPr>
      <t>AÑO 3</t>
    </r>
  </si>
  <si>
    <r>
      <t xml:space="preserve">CAMBIO PORCENTUAL EN UNIDADES VENDIDAS </t>
    </r>
    <r>
      <rPr>
        <b/>
        <u/>
        <sz val="12"/>
        <rFont val="Times New Roman"/>
        <family val="1"/>
      </rPr>
      <t>AÑO 4</t>
    </r>
  </si>
  <si>
    <r>
      <rPr>
        <i/>
        <sz val="12"/>
        <rFont val="Times New Roman"/>
        <family val="1"/>
      </rPr>
      <t xml:space="preserve">CANTIDADES A UTILIZAR EN EL </t>
    </r>
    <r>
      <rPr>
        <i/>
        <u/>
        <sz val="12"/>
        <rFont val="Times New Roman"/>
        <family val="1"/>
      </rPr>
      <t>AÑO 4</t>
    </r>
  </si>
  <si>
    <r>
      <t xml:space="preserve">CAMBIO PORCENTUAL EN UNIDADES VENDIDAS </t>
    </r>
    <r>
      <rPr>
        <b/>
        <u/>
        <sz val="12"/>
        <rFont val="Times New Roman"/>
        <family val="1"/>
      </rPr>
      <t>AÑO 5</t>
    </r>
  </si>
  <si>
    <r>
      <rPr>
        <i/>
        <sz val="12"/>
        <rFont val="Times New Roman"/>
        <family val="1"/>
      </rPr>
      <t xml:space="preserve">CANTIDADES A UTILIZAR EN EL </t>
    </r>
    <r>
      <rPr>
        <i/>
        <u/>
        <sz val="12"/>
        <rFont val="Times New Roman"/>
        <family val="1"/>
      </rPr>
      <t>AÑO 5</t>
    </r>
  </si>
  <si>
    <t>COSTO POR UNIDAD DE PRODUCTO (1)</t>
  </si>
  <si>
    <r>
      <t xml:space="preserve">COSTO UNITARIO </t>
    </r>
    <r>
      <rPr>
        <i/>
        <u/>
        <sz val="12"/>
        <rFont val="Times New Roman"/>
        <family val="1"/>
      </rPr>
      <t>AÑO 2</t>
    </r>
  </si>
  <si>
    <r>
      <t xml:space="preserve">COSTO UNITARIO </t>
    </r>
    <r>
      <rPr>
        <i/>
        <u/>
        <sz val="12"/>
        <rFont val="Times New Roman"/>
        <family val="1"/>
      </rPr>
      <t>AÑO 3</t>
    </r>
  </si>
  <si>
    <r>
      <t xml:space="preserve">COSTO UNITARIO </t>
    </r>
    <r>
      <rPr>
        <i/>
        <u/>
        <sz val="12"/>
        <rFont val="Times New Roman"/>
        <family val="1"/>
      </rPr>
      <t>AÑO 4</t>
    </r>
  </si>
  <si>
    <r>
      <t xml:space="preserve">COSTO UNITARIO </t>
    </r>
    <r>
      <rPr>
        <i/>
        <u/>
        <sz val="12"/>
        <rFont val="Times New Roman"/>
        <family val="1"/>
      </rPr>
      <t>AÑO 5</t>
    </r>
  </si>
  <si>
    <t xml:space="preserve">AÑO 3 </t>
  </si>
  <si>
    <t xml:space="preserve">AÑO 4 </t>
  </si>
  <si>
    <t xml:space="preserve">AÑO 5 </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</si>
  <si>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2</t>
    </r>
  </si>
  <si>
    <r>
      <rPr>
        <i/>
        <sz val="12"/>
        <rFont val="Times New Roman"/>
        <family val="1"/>
      </rPr>
      <t>CANTIDADES A UTILIZAR EN EL</t>
    </r>
    <r>
      <rPr>
        <i/>
        <u/>
        <sz val="12"/>
        <rFont val="Times New Roman"/>
        <family val="1"/>
      </rPr>
      <t xml:space="preserve"> AÑO 1 </t>
    </r>
    <r>
      <rPr>
        <i/>
        <sz val="12"/>
        <color theme="7" tint="0.39997558519241921"/>
        <rFont val="Times New Roman"/>
        <family val="1"/>
      </rPr>
      <t>2</t>
    </r>
  </si>
  <si>
    <r>
      <t xml:space="preserve">CAMBIO PORCENTUAL EN UNIDADES VENDIDAS </t>
    </r>
    <r>
      <rPr>
        <u/>
        <sz val="12"/>
        <rFont val="Times New Roman"/>
        <family val="1"/>
      </rPr>
      <t xml:space="preserve">AÑO 2 </t>
    </r>
    <r>
      <rPr>
        <sz val="12"/>
        <color theme="7" tint="0.39997558519241921"/>
        <rFont val="Times New Roman"/>
        <family val="1"/>
      </rPr>
      <t>2</t>
    </r>
  </si>
  <si>
    <r>
      <t xml:space="preserve">CANTIDADES A UTILIZAR  </t>
    </r>
    <r>
      <rPr>
        <i/>
        <u/>
        <sz val="12"/>
        <rFont val="Times New Roman"/>
        <family val="1"/>
      </rPr>
      <t xml:space="preserve">AÑO 2 </t>
    </r>
    <r>
      <rPr>
        <i/>
        <sz val="12"/>
        <color theme="7" tint="0.39997558519241921"/>
        <rFont val="Times New Roman"/>
        <family val="1"/>
      </rPr>
      <t>2</t>
    </r>
  </si>
  <si>
    <r>
      <t xml:space="preserve">CAMBIO PORCENTUAL EN UNIDADES VENDIDAS </t>
    </r>
    <r>
      <rPr>
        <u/>
        <sz val="12"/>
        <rFont val="Times New Roman"/>
        <family val="1"/>
      </rPr>
      <t xml:space="preserve">AÑO 3 </t>
    </r>
    <r>
      <rPr>
        <sz val="12"/>
        <color theme="7" tint="0.39997558519241921"/>
        <rFont val="Times New Roman"/>
        <family val="1"/>
      </rPr>
      <t>2</t>
    </r>
  </si>
  <si>
    <r>
      <t xml:space="preserve">CANTIDADES A UTILIZAR  </t>
    </r>
    <r>
      <rPr>
        <i/>
        <u/>
        <sz val="12"/>
        <rFont val="Times New Roman"/>
        <family val="1"/>
      </rPr>
      <t xml:space="preserve">AÑO 3 </t>
    </r>
    <r>
      <rPr>
        <i/>
        <sz val="12"/>
        <color theme="7" tint="0.39997558519241921"/>
        <rFont val="Times New Roman"/>
        <family val="1"/>
      </rPr>
      <t>2</t>
    </r>
  </si>
  <si>
    <r>
      <t xml:space="preserve">CAMBIO PORCENTUAL EN UNIDADES VENDIDAS </t>
    </r>
    <r>
      <rPr>
        <u/>
        <sz val="12"/>
        <rFont val="Times New Roman"/>
        <family val="1"/>
      </rPr>
      <t xml:space="preserve">AÑO 4 </t>
    </r>
    <r>
      <rPr>
        <sz val="12"/>
        <color theme="7" tint="0.39997558519241921"/>
        <rFont val="Times New Roman"/>
        <family val="1"/>
      </rPr>
      <t>2</t>
    </r>
  </si>
  <si>
    <r>
      <t xml:space="preserve">CANTIDADES A UTILIZAR </t>
    </r>
    <r>
      <rPr>
        <i/>
        <u/>
        <sz val="12"/>
        <rFont val="Times New Roman"/>
        <family val="1"/>
      </rPr>
      <t xml:space="preserve"> AÑO 4 </t>
    </r>
    <r>
      <rPr>
        <i/>
        <sz val="12"/>
        <color theme="7" tint="0.39997558519241921"/>
        <rFont val="Times New Roman"/>
        <family val="1"/>
      </rPr>
      <t>2</t>
    </r>
  </si>
  <si>
    <r>
      <t xml:space="preserve">CAMBIO PORCENTUAL EN UNIDADES VENDIDAS </t>
    </r>
    <r>
      <rPr>
        <u/>
        <sz val="12"/>
        <rFont val="Times New Roman"/>
        <family val="1"/>
      </rPr>
      <t xml:space="preserve">AÑO 5 </t>
    </r>
    <r>
      <rPr>
        <sz val="12"/>
        <color theme="7" tint="0.39997558519241921"/>
        <rFont val="Times New Roman"/>
        <family val="1"/>
      </rPr>
      <t>2</t>
    </r>
  </si>
  <si>
    <r>
      <rPr>
        <i/>
        <sz val="12"/>
        <rFont val="Times New Roman"/>
        <family val="1"/>
      </rPr>
      <t xml:space="preserve">CANTIDADES A UTILIZAR </t>
    </r>
    <r>
      <rPr>
        <i/>
        <u/>
        <sz val="12"/>
        <rFont val="Times New Roman"/>
        <family val="1"/>
      </rPr>
      <t xml:space="preserve">AÑO 5 </t>
    </r>
    <r>
      <rPr>
        <i/>
        <u/>
        <sz val="12"/>
        <color theme="7" tint="0.39997558519241921"/>
        <rFont val="Times New Roman"/>
        <family val="1"/>
      </rPr>
      <t>2</t>
    </r>
  </si>
  <si>
    <t>COSTO POR UNIDAD DE PRODUCTO (2)</t>
  </si>
  <si>
    <r>
      <t xml:space="preserve">COSTO UNITARIO </t>
    </r>
    <r>
      <rPr>
        <i/>
        <u/>
        <sz val="12"/>
        <rFont val="Times New Roman"/>
        <family val="1"/>
      </rPr>
      <t>AÑO 2</t>
    </r>
    <r>
      <rPr>
        <i/>
        <u/>
        <sz val="12"/>
        <color theme="7" tint="0.39997558519241921"/>
        <rFont val="Times New Roman"/>
        <family val="1"/>
      </rPr>
      <t xml:space="preserve"> </t>
    </r>
    <r>
      <rPr>
        <i/>
        <sz val="12"/>
        <color theme="7" tint="0.39997558519241921"/>
        <rFont val="Times New Roman"/>
        <family val="1"/>
      </rPr>
      <t>2</t>
    </r>
  </si>
  <si>
    <r>
      <t xml:space="preserve">COSTO UNITARIO </t>
    </r>
    <r>
      <rPr>
        <i/>
        <u/>
        <sz val="12"/>
        <rFont val="Times New Roman"/>
        <family val="1"/>
      </rPr>
      <t xml:space="preserve">AÑO 3 </t>
    </r>
    <r>
      <rPr>
        <i/>
        <sz val="12"/>
        <color theme="7" tint="0.39997558519241921"/>
        <rFont val="Times New Roman"/>
        <family val="1"/>
      </rPr>
      <t>2</t>
    </r>
  </si>
  <si>
    <r>
      <t xml:space="preserve">COSTO UNITARIO </t>
    </r>
    <r>
      <rPr>
        <i/>
        <u/>
        <sz val="12"/>
        <rFont val="Times New Roman"/>
        <family val="1"/>
      </rPr>
      <t xml:space="preserve">AÑO 4 </t>
    </r>
    <r>
      <rPr>
        <i/>
        <sz val="12"/>
        <color theme="7" tint="0.39997558519241921"/>
        <rFont val="Times New Roman"/>
        <family val="1"/>
      </rPr>
      <t>2</t>
    </r>
  </si>
  <si>
    <r>
      <t xml:space="preserve">COSTO UNITARIO </t>
    </r>
    <r>
      <rPr>
        <i/>
        <u/>
        <sz val="12"/>
        <rFont val="Times New Roman"/>
        <family val="1"/>
      </rPr>
      <t xml:space="preserve">AÑO 5 </t>
    </r>
    <r>
      <rPr>
        <i/>
        <sz val="12"/>
        <color theme="7" tint="0.39997558519241921"/>
        <rFont val="Times New Roman"/>
        <family val="1"/>
      </rPr>
      <t>2</t>
    </r>
  </si>
  <si>
    <r>
      <t xml:space="preserve">AÑO 1 </t>
    </r>
    <r>
      <rPr>
        <i/>
        <sz val="12"/>
        <color theme="7" tint="0.39997558519241921"/>
        <rFont val="Times New Roman"/>
        <family val="1"/>
      </rPr>
      <t>2</t>
    </r>
  </si>
  <si>
    <r>
      <t xml:space="preserve">AÑO 2 </t>
    </r>
    <r>
      <rPr>
        <i/>
        <sz val="12"/>
        <color theme="7" tint="0.39997558519241921"/>
        <rFont val="Times New Roman"/>
        <family val="1"/>
      </rPr>
      <t>2</t>
    </r>
  </si>
  <si>
    <r>
      <t xml:space="preserve">AÑO 3 </t>
    </r>
    <r>
      <rPr>
        <i/>
        <sz val="12"/>
        <color theme="7" tint="0.39997558519241921"/>
        <rFont val="Times New Roman"/>
        <family val="1"/>
      </rPr>
      <t>2</t>
    </r>
  </si>
  <si>
    <r>
      <t xml:space="preserve">AÑO 4 </t>
    </r>
    <r>
      <rPr>
        <i/>
        <sz val="12"/>
        <color theme="7" tint="0.39997558519241921"/>
        <rFont val="Times New Roman"/>
        <family val="1"/>
      </rPr>
      <t>2</t>
    </r>
  </si>
  <si>
    <r>
      <t xml:space="preserve">AÑO 5 </t>
    </r>
    <r>
      <rPr>
        <i/>
        <sz val="12"/>
        <color theme="7" tint="0.39997558519241921"/>
        <rFont val="Times New Roman"/>
        <family val="1"/>
      </rPr>
      <t>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</si>
  <si>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3</t>
    </r>
  </si>
  <si>
    <r>
      <t xml:space="preserve">CANTIDADES A UTILIZAR  </t>
    </r>
    <r>
      <rPr>
        <i/>
        <u/>
        <sz val="12"/>
        <rFont val="Times New Roman"/>
        <family val="1"/>
      </rPr>
      <t xml:space="preserve">AÑO </t>
    </r>
    <r>
      <rPr>
        <i/>
        <sz val="12"/>
        <rFont val="Times New Roman"/>
        <family val="1"/>
      </rPr>
      <t xml:space="preserve">1 </t>
    </r>
    <r>
      <rPr>
        <i/>
        <sz val="12"/>
        <color theme="8" tint="0.39997558519241921"/>
        <rFont val="Times New Roman"/>
        <family val="1"/>
      </rPr>
      <t>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</si>
  <si>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</si>
  <si>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</si>
  <si>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</si>
  <si>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</si>
  <si>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</si>
  <si>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</si>
  <si>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3</t>
    </r>
  </si>
  <si>
    <r>
      <t xml:space="preserve">CANTIDADES A UTILIZAR </t>
    </r>
    <r>
      <rPr>
        <i/>
        <u/>
        <sz val="12"/>
        <rFont val="Times New Roman"/>
        <family val="1"/>
      </rPr>
      <t xml:space="preserve">AÑO 5 </t>
    </r>
    <r>
      <rPr>
        <i/>
        <sz val="12"/>
        <color theme="8" tint="0.39997558519241921"/>
        <rFont val="Times New Roman"/>
        <family val="1"/>
      </rPr>
      <t>3</t>
    </r>
  </si>
  <si>
    <t>COSTO POR UNIDAD DE PRODUCTO (3)</t>
  </si>
  <si>
    <r>
      <t xml:space="preserve">COSTO UNITARIO </t>
    </r>
    <r>
      <rPr>
        <i/>
        <u/>
        <sz val="12"/>
        <rFont val="Times New Roman"/>
        <family val="1"/>
      </rPr>
      <t xml:space="preserve">AÑO 2 </t>
    </r>
    <r>
      <rPr>
        <i/>
        <sz val="12"/>
        <color theme="8" tint="0.39997558519241921"/>
        <rFont val="Times New Roman"/>
        <family val="1"/>
      </rPr>
      <t>3</t>
    </r>
  </si>
  <si>
    <r>
      <t>COSTO UNITARIO</t>
    </r>
    <r>
      <rPr>
        <i/>
        <u/>
        <sz val="12"/>
        <rFont val="Times New Roman"/>
        <family val="1"/>
      </rPr>
      <t xml:space="preserve"> AÑO 3</t>
    </r>
    <r>
      <rPr>
        <i/>
        <sz val="12"/>
        <rFont val="Times New Roman"/>
        <family val="1"/>
      </rPr>
      <t xml:space="preserve"> </t>
    </r>
    <r>
      <rPr>
        <i/>
        <sz val="12"/>
        <color theme="8" tint="0.39997558519241921"/>
        <rFont val="Times New Roman"/>
        <family val="1"/>
      </rPr>
      <t>3</t>
    </r>
  </si>
  <si>
    <r>
      <t xml:space="preserve">COSTO UNITARIO </t>
    </r>
    <r>
      <rPr>
        <i/>
        <u/>
        <sz val="12"/>
        <rFont val="Times New Roman"/>
        <family val="1"/>
      </rPr>
      <t xml:space="preserve">AÑO 4 </t>
    </r>
    <r>
      <rPr>
        <i/>
        <sz val="12"/>
        <color theme="8" tint="0.39997558519241921"/>
        <rFont val="Times New Roman"/>
        <family val="1"/>
      </rPr>
      <t>3</t>
    </r>
  </si>
  <si>
    <r>
      <t xml:space="preserve"> COSTO UNITARIO </t>
    </r>
    <r>
      <rPr>
        <i/>
        <u/>
        <sz val="12"/>
        <rFont val="Times New Roman"/>
        <family val="1"/>
      </rPr>
      <t xml:space="preserve">AÑO 5 </t>
    </r>
    <r>
      <rPr>
        <i/>
        <sz val="12"/>
        <color theme="8" tint="0.39997558519241921"/>
        <rFont val="Times New Roman"/>
        <family val="1"/>
      </rPr>
      <t>3</t>
    </r>
  </si>
  <si>
    <r>
      <t xml:space="preserve">AÑO 1 </t>
    </r>
    <r>
      <rPr>
        <i/>
        <sz val="12"/>
        <color theme="8" tint="0.39997558519241921"/>
        <rFont val="Times New Roman"/>
        <family val="1"/>
      </rPr>
      <t>3</t>
    </r>
  </si>
  <si>
    <r>
      <t xml:space="preserve">AÑO 2 </t>
    </r>
    <r>
      <rPr>
        <i/>
        <sz val="12"/>
        <color theme="8" tint="0.39997558519241921"/>
        <rFont val="Times New Roman"/>
        <family val="1"/>
      </rPr>
      <t>3</t>
    </r>
  </si>
  <si>
    <r>
      <t xml:space="preserve">AÑO 3 </t>
    </r>
    <r>
      <rPr>
        <i/>
        <sz val="12"/>
        <color theme="8" tint="0.39997558519241921"/>
        <rFont val="Times New Roman"/>
        <family val="1"/>
      </rPr>
      <t>3</t>
    </r>
  </si>
  <si>
    <r>
      <t xml:space="preserve">AÑO 4 </t>
    </r>
    <r>
      <rPr>
        <i/>
        <sz val="12"/>
        <color theme="8" tint="0.39997558519241921"/>
        <rFont val="Times New Roman"/>
        <family val="1"/>
      </rPr>
      <t>3</t>
    </r>
  </si>
  <si>
    <r>
      <t xml:space="preserve">AÑO 5 </t>
    </r>
    <r>
      <rPr>
        <i/>
        <sz val="12"/>
        <color theme="8" tint="0.39997558519241921"/>
        <rFont val="Times New Roman"/>
        <family val="1"/>
      </rPr>
      <t>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</si>
  <si>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</si>
  <si>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t>
    </r>
    <r>
      <rPr>
        <i/>
        <u/>
        <sz val="12"/>
        <rFont val="Times New Roman"/>
        <family val="1"/>
      </rPr>
      <t xml:space="preserve"> AÑO 1</t>
    </r>
    <r>
      <rPr>
        <i/>
        <sz val="12"/>
        <rFont val="Times New Roman"/>
        <family val="1"/>
      </rPr>
      <t xml:space="preserve"> </t>
    </r>
    <r>
      <rPr>
        <i/>
        <sz val="12"/>
        <color theme="7" tint="0.39997558519241921"/>
        <rFont val="Times New Roman"/>
        <family val="1"/>
      </rPr>
      <t>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</si>
  <si>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</si>
  <si>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</si>
  <si>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4</t>
    </r>
  </si>
  <si>
    <r>
      <t xml:space="preserve">CANTIDADES A UTILIZAR  </t>
    </r>
    <r>
      <rPr>
        <i/>
        <u/>
        <sz val="12"/>
        <rFont val="Times New Roman"/>
        <family val="1"/>
      </rPr>
      <t xml:space="preserve">AÑO 3 </t>
    </r>
    <r>
      <rPr>
        <i/>
        <sz val="12"/>
        <color theme="7" tint="0.39997558519241921"/>
        <rFont val="Times New Roman"/>
        <family val="1"/>
      </rPr>
      <t>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</si>
  <si>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</si>
  <si>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</si>
  <si>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</si>
  <si>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4</t>
    </r>
  </si>
  <si>
    <t xml:space="preserve">COSTO POR UNIDAD DE PRODUCTO (4) </t>
  </si>
  <si>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</si>
  <si>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</si>
  <si>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</si>
  <si>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</si>
  <si>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AÑO 1 </t>
    </r>
    <r>
      <rPr>
        <i/>
        <sz val="12"/>
        <color theme="7" tint="0.39997558519241921"/>
        <rFont val="Times New Roman"/>
        <family val="1"/>
      </rPr>
      <t>4</t>
    </r>
  </si>
  <si>
    <r>
      <t xml:space="preserve">AÑO 2 </t>
    </r>
    <r>
      <rPr>
        <i/>
        <sz val="12"/>
        <color theme="7" tint="0.39997558519241921"/>
        <rFont val="Times New Roman"/>
        <family val="1"/>
      </rPr>
      <t>4</t>
    </r>
  </si>
  <si>
    <r>
      <t xml:space="preserve">AÑO 3 </t>
    </r>
    <r>
      <rPr>
        <i/>
        <sz val="12"/>
        <color theme="7" tint="0.39997558519241921"/>
        <rFont val="Times New Roman"/>
        <family val="1"/>
      </rPr>
      <t>4</t>
    </r>
  </si>
  <si>
    <r>
      <t xml:space="preserve">AÑO 4 </t>
    </r>
    <r>
      <rPr>
        <i/>
        <sz val="12"/>
        <color theme="7" tint="0.39997558519241921"/>
        <rFont val="Times New Roman"/>
        <family val="1"/>
      </rPr>
      <t>4</t>
    </r>
  </si>
  <si>
    <r>
      <t xml:space="preserve">AÑO 5 </t>
    </r>
    <r>
      <rPr>
        <i/>
        <sz val="12"/>
        <color theme="7" tint="0.39997558519241921"/>
        <rFont val="Times New Roman"/>
        <family val="1"/>
      </rPr>
      <t>4</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</si>
  <si>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</si>
  <si>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</si>
  <si>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</si>
  <si>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</si>
  <si>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</si>
  <si>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</si>
  <si>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</si>
  <si>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</si>
  <si>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5</t>
    </r>
  </si>
  <si>
    <r>
      <t xml:space="preserve">CANTIDADES A UTILIZAR </t>
    </r>
    <r>
      <rPr>
        <i/>
        <u/>
        <sz val="12"/>
        <rFont val="Times New Roman"/>
        <family val="1"/>
      </rPr>
      <t>AÑO 5</t>
    </r>
    <r>
      <rPr>
        <i/>
        <sz val="12"/>
        <color theme="8" tint="0.39997558519241921"/>
        <rFont val="Times New Roman"/>
        <family val="1"/>
      </rPr>
      <t xml:space="preserve"> 5</t>
    </r>
  </si>
  <si>
    <t>COSTO POR UNIDAD DE PRODUCTO (5)</t>
  </si>
  <si>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</si>
  <si>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</si>
  <si>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</si>
  <si>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5 </t>
    </r>
  </si>
  <si>
    <r>
      <t xml:space="preserve">AÑO 1 </t>
    </r>
    <r>
      <rPr>
        <i/>
        <sz val="12"/>
        <color theme="8" tint="0.39997558519241921"/>
        <rFont val="Times New Roman"/>
        <family val="1"/>
      </rPr>
      <t>5</t>
    </r>
  </si>
  <si>
    <r>
      <t xml:space="preserve">AÑO 2 </t>
    </r>
    <r>
      <rPr>
        <i/>
        <sz val="12"/>
        <color theme="8" tint="0.39997558519241921"/>
        <rFont val="Times New Roman"/>
        <family val="1"/>
      </rPr>
      <t>5</t>
    </r>
  </si>
  <si>
    <r>
      <t xml:space="preserve">AÑO 3 </t>
    </r>
    <r>
      <rPr>
        <i/>
        <sz val="12"/>
        <color theme="8" tint="0.39997558519241921"/>
        <rFont val="Times New Roman"/>
        <family val="1"/>
      </rPr>
      <t>5</t>
    </r>
    <r>
      <rPr>
        <i/>
        <sz val="12"/>
        <rFont val="Times New Roman"/>
        <family val="1"/>
      </rPr>
      <t xml:space="preserve"> </t>
    </r>
  </si>
  <si>
    <r>
      <t xml:space="preserve">AÑO 4 </t>
    </r>
    <r>
      <rPr>
        <i/>
        <sz val="12"/>
        <color theme="8" tint="0.39997558519241921"/>
        <rFont val="Times New Roman"/>
        <family val="1"/>
      </rPr>
      <t>5</t>
    </r>
  </si>
  <si>
    <r>
      <t xml:space="preserve">AÑO 5 </t>
    </r>
    <r>
      <rPr>
        <i/>
        <sz val="12"/>
        <color theme="8" tint="0.39997558519241921"/>
        <rFont val="Times New Roman"/>
        <family val="1"/>
      </rPr>
      <t>5</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</si>
  <si>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</si>
  <si>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</si>
  <si>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6</t>
    </r>
  </si>
  <si>
    <r>
      <t xml:space="preserve">CANTIDADES A UTILIZAR </t>
    </r>
    <r>
      <rPr>
        <i/>
        <u/>
        <sz val="12"/>
        <rFont val="Times New Roman"/>
        <family val="1"/>
      </rPr>
      <t xml:space="preserve"> AÑO 2</t>
    </r>
    <r>
      <rPr>
        <i/>
        <sz val="12"/>
        <rFont val="Times New Roman"/>
        <family val="1"/>
      </rPr>
      <t xml:space="preserve"> </t>
    </r>
    <r>
      <rPr>
        <i/>
        <sz val="12"/>
        <color theme="7" tint="0.39997558519241921"/>
        <rFont val="Times New Roman"/>
        <family val="1"/>
      </rPr>
      <t>6</t>
    </r>
  </si>
  <si>
    <r>
      <t>CAMBIO PORCENTUAL EN UNIDADES VENDIDAS</t>
    </r>
    <r>
      <rPr>
        <u/>
        <sz val="12"/>
        <rFont val="Times New Roman"/>
        <family val="1"/>
      </rPr>
      <t xml:space="preserve"> AÑO 3</t>
    </r>
    <r>
      <rPr>
        <sz val="12"/>
        <rFont val="Times New Roman"/>
        <family val="1"/>
      </rPr>
      <t xml:space="preserve"> </t>
    </r>
    <r>
      <rPr>
        <sz val="12"/>
        <color theme="7" tint="0.39997558519241921"/>
        <rFont val="Times New Roman"/>
        <family val="1"/>
      </rPr>
      <t>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</si>
  <si>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6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</si>
  <si>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</si>
  <si>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</si>
  <si>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</si>
  <si>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6</t>
    </r>
  </si>
  <si>
    <t>COSTO POR UNIDAD DE PRODUCTO (6)</t>
  </si>
  <si>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</si>
  <si>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</si>
  <si>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6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</si>
  <si>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</si>
  <si>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AÑO 1 </t>
    </r>
    <r>
      <rPr>
        <i/>
        <sz val="12"/>
        <color theme="7" tint="0.39997558519241921"/>
        <rFont val="Times New Roman"/>
        <family val="1"/>
      </rPr>
      <t>6</t>
    </r>
  </si>
  <si>
    <r>
      <t xml:space="preserve">AÑO 2 </t>
    </r>
    <r>
      <rPr>
        <i/>
        <sz val="12"/>
        <color theme="7" tint="0.39997558519241921"/>
        <rFont val="Times New Roman"/>
        <family val="1"/>
      </rPr>
      <t>6</t>
    </r>
  </si>
  <si>
    <r>
      <t xml:space="preserve">AÑO 3 </t>
    </r>
    <r>
      <rPr>
        <i/>
        <sz val="12"/>
        <color theme="7" tint="0.39997558519241921"/>
        <rFont val="Times New Roman"/>
        <family val="1"/>
      </rPr>
      <t>6</t>
    </r>
  </si>
  <si>
    <r>
      <t xml:space="preserve">AÑO 4 </t>
    </r>
    <r>
      <rPr>
        <i/>
        <sz val="12"/>
        <color theme="7" tint="0.39997558519241921"/>
        <rFont val="Times New Roman"/>
        <family val="1"/>
      </rPr>
      <t>6</t>
    </r>
  </si>
  <si>
    <r>
      <t xml:space="preserve">AÑO 5 </t>
    </r>
    <r>
      <rPr>
        <i/>
        <sz val="12"/>
        <color theme="7" tint="0.39997558519241921"/>
        <rFont val="Times New Roman"/>
        <family val="1"/>
      </rPr>
      <t>6</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</si>
  <si>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7</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</si>
  <si>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</si>
  <si>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</si>
  <si>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7</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</si>
  <si>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7</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</si>
  <si>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7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</si>
  <si>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</si>
  <si>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</si>
  <si>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</si>
  <si>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7</t>
    </r>
  </si>
  <si>
    <t>COSTO POR UNIDAD DE PRODUCTO (7)</t>
  </si>
  <si>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</si>
  <si>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</si>
  <si>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</si>
  <si>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</si>
  <si>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AÑO 1 </t>
    </r>
    <r>
      <rPr>
        <i/>
        <sz val="12"/>
        <color theme="8" tint="0.39997558519241921"/>
        <rFont val="Times New Roman"/>
        <family val="1"/>
      </rPr>
      <t>7</t>
    </r>
  </si>
  <si>
    <r>
      <t xml:space="preserve">AÑO 2 </t>
    </r>
    <r>
      <rPr>
        <i/>
        <sz val="12"/>
        <color theme="8" tint="0.39997558519241921"/>
        <rFont val="Times New Roman"/>
        <family val="1"/>
      </rPr>
      <t>7</t>
    </r>
  </si>
  <si>
    <r>
      <t xml:space="preserve">AÑO 3 </t>
    </r>
    <r>
      <rPr>
        <i/>
        <sz val="12"/>
        <color theme="8" tint="0.39997558519241921"/>
        <rFont val="Times New Roman"/>
        <family val="1"/>
      </rPr>
      <t>7</t>
    </r>
  </si>
  <si>
    <r>
      <t xml:space="preserve">AÑO 4 </t>
    </r>
    <r>
      <rPr>
        <i/>
        <sz val="12"/>
        <color theme="8" tint="0.39997558519241921"/>
        <rFont val="Times New Roman"/>
        <family val="1"/>
      </rPr>
      <t xml:space="preserve">7 </t>
    </r>
  </si>
  <si>
    <r>
      <t xml:space="preserve">AÑO 5 </t>
    </r>
    <r>
      <rPr>
        <i/>
        <sz val="12"/>
        <color theme="8" tint="0.39997558519241921"/>
        <rFont val="Times New Roman"/>
        <family val="1"/>
      </rPr>
      <t>7</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</si>
  <si>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8</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</si>
  <si>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8</t>
    </r>
  </si>
  <si>
    <r>
      <t>CAMBIO PORCENTUAL EN UNIDADES VENDIDAS</t>
    </r>
    <r>
      <rPr>
        <u/>
        <sz val="12"/>
        <rFont val="Times New Roman"/>
        <family val="1"/>
      </rPr>
      <t xml:space="preserve"> AÑO 2</t>
    </r>
    <r>
      <rPr>
        <sz val="12"/>
        <color theme="7" tint="0.39997558519241921"/>
        <rFont val="Times New Roman"/>
        <family val="1"/>
      </rPr>
      <t xml:space="preserve"> 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</si>
  <si>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</si>
  <si>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</si>
  <si>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</si>
  <si>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</si>
  <si>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</si>
  <si>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8</t>
    </r>
  </si>
  <si>
    <r>
      <t>CANTIDADES A UTILIZAR</t>
    </r>
    <r>
      <rPr>
        <i/>
        <u/>
        <sz val="12"/>
        <rFont val="Times New Roman"/>
        <family val="1"/>
      </rPr>
      <t xml:space="preserve"> AÑO 5</t>
    </r>
    <r>
      <rPr>
        <i/>
        <sz val="12"/>
        <rFont val="Times New Roman"/>
        <family val="1"/>
      </rPr>
      <t xml:space="preserve"> </t>
    </r>
    <r>
      <rPr>
        <i/>
        <sz val="12"/>
        <color theme="7" tint="0.39997558519241921"/>
        <rFont val="Times New Roman"/>
        <family val="1"/>
      </rPr>
      <t>8</t>
    </r>
  </si>
  <si>
    <t>COSTO POR UNIDAD DE PRODUCTO (8)</t>
  </si>
  <si>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</si>
  <si>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</si>
  <si>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</si>
  <si>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8</t>
    </r>
  </si>
  <si>
    <r>
      <t xml:space="preserve">AÑO 1 </t>
    </r>
    <r>
      <rPr>
        <i/>
        <sz val="12"/>
        <color theme="7" tint="0.39997558519241921"/>
        <rFont val="Times New Roman"/>
        <family val="1"/>
      </rPr>
      <t>8</t>
    </r>
  </si>
  <si>
    <r>
      <t xml:space="preserve">AÑO 2 </t>
    </r>
    <r>
      <rPr>
        <i/>
        <sz val="12"/>
        <color theme="7" tint="0.39997558519241921"/>
        <rFont val="Times New Roman"/>
        <family val="1"/>
      </rPr>
      <t>8</t>
    </r>
  </si>
  <si>
    <r>
      <t xml:space="preserve">AÑO 3 </t>
    </r>
    <r>
      <rPr>
        <i/>
        <sz val="12"/>
        <color theme="7" tint="0.39997558519241921"/>
        <rFont val="Times New Roman"/>
        <family val="1"/>
      </rPr>
      <t>8</t>
    </r>
  </si>
  <si>
    <r>
      <t xml:space="preserve">AÑO 4 </t>
    </r>
    <r>
      <rPr>
        <i/>
        <sz val="12"/>
        <color theme="7" tint="0.39997558519241921"/>
        <rFont val="Times New Roman"/>
        <family val="1"/>
      </rPr>
      <t>8</t>
    </r>
  </si>
  <si>
    <r>
      <t xml:space="preserve">AÑO 5 </t>
    </r>
    <r>
      <rPr>
        <i/>
        <sz val="12"/>
        <color theme="7" tint="0.39997558519241921"/>
        <rFont val="Times New Roman"/>
        <family val="1"/>
      </rPr>
      <t>8</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</si>
  <si>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9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</si>
  <si>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</si>
  <si>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</si>
  <si>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</si>
  <si>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9</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</si>
  <si>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</si>
  <si>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</si>
  <si>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</si>
  <si>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9</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</si>
  <si>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9</t>
    </r>
  </si>
  <si>
    <t>COSTO POR UNIDAD DE PRODUCTO (9)</t>
  </si>
  <si>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</si>
  <si>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</si>
  <si>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</si>
  <si>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</si>
  <si>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AÑO 1 </t>
    </r>
    <r>
      <rPr>
        <i/>
        <sz val="12"/>
        <color theme="8" tint="0.39997558519241921"/>
        <rFont val="Times New Roman"/>
        <family val="1"/>
      </rPr>
      <t>9</t>
    </r>
  </si>
  <si>
    <r>
      <t>AÑO 2</t>
    </r>
    <r>
      <rPr>
        <i/>
        <sz val="12"/>
        <color theme="8" tint="0.39997558519241921"/>
        <rFont val="Times New Roman"/>
        <family val="1"/>
      </rPr>
      <t xml:space="preserve"> 9 </t>
    </r>
  </si>
  <si>
    <r>
      <t xml:space="preserve">AÑO 3 </t>
    </r>
    <r>
      <rPr>
        <i/>
        <sz val="12"/>
        <color theme="8" tint="0.39997558519241921"/>
        <rFont val="Times New Roman"/>
        <family val="1"/>
      </rPr>
      <t>9</t>
    </r>
  </si>
  <si>
    <r>
      <t xml:space="preserve">AÑO 4 </t>
    </r>
    <r>
      <rPr>
        <i/>
        <sz val="12"/>
        <color theme="8" tint="0.39997558519241921"/>
        <rFont val="Times New Roman"/>
        <family val="1"/>
      </rPr>
      <t xml:space="preserve">9 </t>
    </r>
  </si>
  <si>
    <r>
      <t xml:space="preserve">AÑO 5 </t>
    </r>
    <r>
      <rPr>
        <i/>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</si>
  <si>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</si>
  <si>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</si>
  <si>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10 </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</si>
  <si>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10</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</si>
  <si>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10</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</si>
  <si>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10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</si>
  <si>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10</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</si>
  <si>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</si>
  <si>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10</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</si>
  <si>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10</t>
    </r>
  </si>
  <si>
    <t>COSTO POR UNIDAD DE PRODUCTO (10)</t>
  </si>
  <si>
    <r>
      <t xml:space="preserve">COSTO UNITARIO </t>
    </r>
    <r>
      <rPr>
        <i/>
        <u/>
        <sz val="12"/>
        <rFont val="Times New Roman"/>
        <family val="1"/>
      </rPr>
      <t>AÑO 2</t>
    </r>
    <r>
      <rPr>
        <i/>
        <sz val="12"/>
        <color theme="7" tint="0.39997558519241921"/>
        <rFont val="Times New Roman"/>
        <family val="1"/>
      </rPr>
      <t xml:space="preserve"> 10</t>
    </r>
    <r>
      <rPr>
        <i/>
        <sz val="12"/>
        <rFont val="Times New Roman"/>
        <family val="1"/>
      </rPr>
      <t xml:space="preserve">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</si>
  <si>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</si>
  <si>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</si>
  <si>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10 </t>
    </r>
  </si>
  <si>
    <r>
      <t xml:space="preserve">AÑO 1 </t>
    </r>
    <r>
      <rPr>
        <i/>
        <sz val="12"/>
        <color theme="7" tint="0.39997558519241921"/>
        <rFont val="Times New Roman"/>
        <family val="1"/>
      </rPr>
      <t xml:space="preserve">10 </t>
    </r>
  </si>
  <si>
    <r>
      <t xml:space="preserve">AÑO 2 </t>
    </r>
    <r>
      <rPr>
        <i/>
        <sz val="12"/>
        <color theme="7" tint="0.39997558519241921"/>
        <rFont val="Times New Roman"/>
        <family val="1"/>
      </rPr>
      <t>10</t>
    </r>
    <r>
      <rPr>
        <i/>
        <sz val="12"/>
        <rFont val="Times New Roman"/>
        <family val="1"/>
      </rPr>
      <t xml:space="preserve"> </t>
    </r>
  </si>
  <si>
    <r>
      <t xml:space="preserve">AÑO 3 </t>
    </r>
    <r>
      <rPr>
        <i/>
        <sz val="12"/>
        <color theme="7" tint="0.39997558519241921"/>
        <rFont val="Times New Roman"/>
        <family val="1"/>
      </rPr>
      <t>10</t>
    </r>
    <r>
      <rPr>
        <i/>
        <sz val="12"/>
        <rFont val="Times New Roman"/>
        <family val="1"/>
      </rPr>
      <t xml:space="preserve"> </t>
    </r>
  </si>
  <si>
    <r>
      <t xml:space="preserve">AÑO 4 </t>
    </r>
    <r>
      <rPr>
        <i/>
        <sz val="12"/>
        <color theme="7" tint="0.39997558519241921"/>
        <rFont val="Times New Roman"/>
        <family val="1"/>
      </rPr>
      <t xml:space="preserve">10 </t>
    </r>
  </si>
  <si>
    <r>
      <t xml:space="preserve">AÑO 5 </t>
    </r>
    <r>
      <rPr>
        <i/>
        <sz val="12"/>
        <color theme="7" tint="0.39997558519241921"/>
        <rFont val="Times New Roman"/>
        <family val="1"/>
      </rPr>
      <t xml:space="preserve">10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</si>
  <si>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11</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</si>
  <si>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</si>
  <si>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11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</si>
  <si>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11</t>
    </r>
    <r>
      <rPr>
        <i/>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</si>
  <si>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11</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</si>
  <si>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</si>
  <si>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11</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</si>
  <si>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11</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</si>
  <si>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 xml:space="preserve">11 </t>
    </r>
  </si>
  <si>
    <r>
      <t xml:space="preserve">CANTIDADES A UTILIZAR </t>
    </r>
    <r>
      <rPr>
        <i/>
        <u/>
        <sz val="12"/>
        <rFont val="Times New Roman"/>
        <family val="1"/>
      </rPr>
      <t xml:space="preserve">AÑO 5 </t>
    </r>
    <r>
      <rPr>
        <i/>
        <sz val="12"/>
        <color theme="8" tint="0.39997558519241921"/>
        <rFont val="Times New Roman"/>
        <family val="1"/>
      </rPr>
      <t>11</t>
    </r>
  </si>
  <si>
    <t>COSTO POR UNIDAD DE PRODUCTO (11)</t>
  </si>
  <si>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11</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</si>
  <si>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</si>
  <si>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</si>
  <si>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11 </t>
    </r>
  </si>
  <si>
    <r>
      <t>AÑO 1</t>
    </r>
    <r>
      <rPr>
        <i/>
        <sz val="12"/>
        <color theme="8" tint="0.39997558519241921"/>
        <rFont val="Times New Roman"/>
        <family val="1"/>
      </rPr>
      <t xml:space="preserve"> 11 </t>
    </r>
  </si>
  <si>
    <r>
      <t xml:space="preserve">AÑO 2 </t>
    </r>
    <r>
      <rPr>
        <i/>
        <sz val="12"/>
        <color theme="8" tint="0.39997558519241921"/>
        <rFont val="Times New Roman"/>
        <family val="1"/>
      </rPr>
      <t xml:space="preserve">11 </t>
    </r>
  </si>
  <si>
    <r>
      <t xml:space="preserve">AÑO 3 </t>
    </r>
    <r>
      <rPr>
        <i/>
        <sz val="12"/>
        <color theme="8" tint="0.39997558519241921"/>
        <rFont val="Times New Roman"/>
        <family val="1"/>
      </rPr>
      <t>11</t>
    </r>
  </si>
  <si>
    <r>
      <t xml:space="preserve">AÑO 4 </t>
    </r>
    <r>
      <rPr>
        <i/>
        <sz val="12"/>
        <color theme="8" tint="0.39997558519241921"/>
        <rFont val="Times New Roman"/>
        <family val="1"/>
      </rPr>
      <t>11</t>
    </r>
    <r>
      <rPr>
        <i/>
        <sz val="12"/>
        <rFont val="Times New Roman"/>
        <family val="1"/>
      </rPr>
      <t xml:space="preserve"> </t>
    </r>
  </si>
  <si>
    <r>
      <t xml:space="preserve">AÑO 5 </t>
    </r>
    <r>
      <rPr>
        <i/>
        <sz val="12"/>
        <color theme="8" tint="0.39997558519241921"/>
        <rFont val="Times New Roman"/>
        <family val="1"/>
      </rPr>
      <t xml:space="preserve">11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</si>
  <si>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12</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</si>
  <si>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</si>
  <si>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12</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</si>
  <si>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</si>
  <si>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12</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</si>
  <si>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</si>
  <si>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12</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</si>
  <si>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</si>
  <si>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12</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</si>
  <si>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12</t>
    </r>
  </si>
  <si>
    <t>COSTO POR UNIDAD DE PRODUCTO (12)</t>
  </si>
  <si>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</si>
  <si>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</si>
  <si>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</si>
  <si>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</si>
  <si>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AÑO 1 </t>
    </r>
    <r>
      <rPr>
        <i/>
        <sz val="12"/>
        <color theme="7" tint="0.39997558519241921"/>
        <rFont val="Times New Roman"/>
        <family val="1"/>
      </rPr>
      <t>12</t>
    </r>
  </si>
  <si>
    <r>
      <t xml:space="preserve">AÑO 2 </t>
    </r>
    <r>
      <rPr>
        <i/>
        <sz val="12"/>
        <color theme="7" tint="0.39997558519241921"/>
        <rFont val="Times New Roman"/>
        <family val="1"/>
      </rPr>
      <t>12</t>
    </r>
  </si>
  <si>
    <r>
      <t xml:space="preserve">AÑO 3 </t>
    </r>
    <r>
      <rPr>
        <i/>
        <sz val="12"/>
        <color theme="7" tint="0.39997558519241921"/>
        <rFont val="Times New Roman"/>
        <family val="1"/>
      </rPr>
      <t>12</t>
    </r>
  </si>
  <si>
    <r>
      <t xml:space="preserve">AÑO 4 </t>
    </r>
    <r>
      <rPr>
        <i/>
        <sz val="12"/>
        <color theme="7" tint="0.39997558519241921"/>
        <rFont val="Times New Roman"/>
        <family val="1"/>
      </rPr>
      <t>12</t>
    </r>
  </si>
  <si>
    <r>
      <t xml:space="preserve">AÑO 5 </t>
    </r>
    <r>
      <rPr>
        <i/>
        <sz val="12"/>
        <color theme="7" tint="0.39997558519241921"/>
        <rFont val="Times New Roman"/>
        <family val="1"/>
      </rPr>
      <t>12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</si>
  <si>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13</t>
    </r>
  </si>
  <si>
    <r>
      <t xml:space="preserve">CANTIDADES A UTILIZAR  </t>
    </r>
    <r>
      <rPr>
        <b/>
        <i/>
        <u/>
        <sz val="12"/>
        <rFont val="Times New Roman"/>
        <family val="1"/>
      </rPr>
      <t>AÑO 1</t>
    </r>
    <r>
      <rPr>
        <b/>
        <i/>
        <sz val="12"/>
        <rFont val="Times New Roman"/>
        <family val="1"/>
      </rPr>
      <t xml:space="preserve"> </t>
    </r>
    <r>
      <rPr>
        <b/>
        <i/>
        <sz val="12"/>
        <color theme="8" tint="0.39997558519241921"/>
        <rFont val="Times New Roman"/>
        <family val="1"/>
      </rPr>
      <t>13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</si>
  <si>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</si>
  <si>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</si>
  <si>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</si>
  <si>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</si>
  <si>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</si>
  <si>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</si>
  <si>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13</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</si>
  <si>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13</t>
    </r>
  </si>
  <si>
    <t>COSTO POR UNIDAD DE PRODUCTO (13)</t>
  </si>
  <si>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</si>
  <si>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</si>
  <si>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</si>
  <si>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</si>
  <si>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AÑO 1 </t>
    </r>
    <r>
      <rPr>
        <i/>
        <sz val="12"/>
        <color theme="8" tint="0.39997558519241921"/>
        <rFont val="Times New Roman"/>
        <family val="1"/>
      </rPr>
      <t>13</t>
    </r>
  </si>
  <si>
    <r>
      <t xml:space="preserve">AÑO 2 </t>
    </r>
    <r>
      <rPr>
        <i/>
        <sz val="12"/>
        <color theme="8" tint="0.39997558519241921"/>
        <rFont val="Times New Roman"/>
        <family val="1"/>
      </rPr>
      <t>13</t>
    </r>
  </si>
  <si>
    <r>
      <t xml:space="preserve">AÑO 3 </t>
    </r>
    <r>
      <rPr>
        <i/>
        <sz val="12"/>
        <color theme="8" tint="0.39997558519241921"/>
        <rFont val="Times New Roman"/>
        <family val="1"/>
      </rPr>
      <t>13</t>
    </r>
  </si>
  <si>
    <r>
      <t xml:space="preserve">AÑO 4 </t>
    </r>
    <r>
      <rPr>
        <i/>
        <sz val="12"/>
        <color theme="8" tint="0.39997558519241921"/>
        <rFont val="Times New Roman"/>
        <family val="1"/>
      </rPr>
      <t>13</t>
    </r>
  </si>
  <si>
    <r>
      <t xml:space="preserve">AÑO 5 </t>
    </r>
    <r>
      <rPr>
        <i/>
        <sz val="12"/>
        <color theme="8" tint="0.39997558519241921"/>
        <rFont val="Times New Roman"/>
        <family val="1"/>
      </rPr>
      <t>13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</si>
  <si>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14</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</si>
  <si>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</si>
  <si>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</si>
  <si>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</si>
  <si>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14</t>
    </r>
  </si>
  <si>
    <r>
      <t xml:space="preserve">CANTIDADES A UTILIZAR </t>
    </r>
    <r>
      <rPr>
        <i/>
        <u/>
        <sz val="12"/>
        <rFont val="Times New Roman"/>
        <family val="1"/>
      </rPr>
      <t xml:space="preserve">AÑO </t>
    </r>
    <r>
      <rPr>
        <i/>
        <sz val="12"/>
        <rFont val="Times New Roman"/>
        <family val="1"/>
      </rPr>
      <t xml:space="preserve">3 </t>
    </r>
    <r>
      <rPr>
        <i/>
        <sz val="12"/>
        <color theme="7" tint="0.39997558519241921"/>
        <rFont val="Times New Roman"/>
        <family val="1"/>
      </rPr>
      <t>14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</si>
  <si>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</si>
  <si>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</si>
  <si>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</si>
  <si>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14</t>
    </r>
  </si>
  <si>
    <t>COSTO POR UNIDAD DE PRODUCTO (14)</t>
  </si>
  <si>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</si>
  <si>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</si>
  <si>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</si>
  <si>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 xml:space="preserve">AÑO 5 </t>
    </r>
    <r>
      <rPr>
        <i/>
        <sz val="12"/>
        <color theme="7" tint="0.39997558519241921"/>
        <rFont val="Times New Roman"/>
        <family val="1"/>
      </rPr>
      <t>14</t>
    </r>
  </si>
  <si>
    <r>
      <t xml:space="preserve">AÑO 1 </t>
    </r>
    <r>
      <rPr>
        <i/>
        <sz val="12"/>
        <color theme="7" tint="0.39997558519241921"/>
        <rFont val="Times New Roman"/>
        <family val="1"/>
      </rPr>
      <t>14</t>
    </r>
  </si>
  <si>
    <r>
      <t xml:space="preserve">AÑO 2 </t>
    </r>
    <r>
      <rPr>
        <i/>
        <sz val="12"/>
        <color theme="7" tint="0.39997558519241921"/>
        <rFont val="Times New Roman"/>
        <family val="1"/>
      </rPr>
      <t>14</t>
    </r>
  </si>
  <si>
    <r>
      <t>AÑO 3</t>
    </r>
    <r>
      <rPr>
        <i/>
        <sz val="12"/>
        <color theme="7" tint="0.39997558519241921"/>
        <rFont val="Times New Roman"/>
        <family val="1"/>
      </rPr>
      <t xml:space="preserve"> 14</t>
    </r>
  </si>
  <si>
    <r>
      <t xml:space="preserve">AÑO 4 </t>
    </r>
    <r>
      <rPr>
        <i/>
        <sz val="12"/>
        <color theme="7" tint="0.39997558519241921"/>
        <rFont val="Times New Roman"/>
        <family val="1"/>
      </rPr>
      <t>14</t>
    </r>
  </si>
  <si>
    <r>
      <t xml:space="preserve">AÑO 5 </t>
    </r>
    <r>
      <rPr>
        <i/>
        <sz val="12"/>
        <color theme="7" tint="0.39997558519241921"/>
        <rFont val="Times New Roman"/>
        <family val="1"/>
      </rPr>
      <t>14</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</si>
  <si>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15</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</si>
  <si>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</si>
  <si>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</si>
  <si>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</si>
  <si>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CAMBIO PORCENTUAL EN UNIDADES VENDIDAS </t>
    </r>
    <r>
      <rPr>
        <u/>
        <sz val="12"/>
        <rFont val="Times New Roman"/>
        <family val="1"/>
      </rPr>
      <t xml:space="preserve">AÑO </t>
    </r>
    <r>
      <rPr>
        <sz val="12"/>
        <rFont val="Times New Roman"/>
        <family val="1"/>
      </rPr>
      <t xml:space="preserve">3 </t>
    </r>
    <r>
      <rPr>
        <sz val="12"/>
        <color theme="8" tint="0.39997558519241921"/>
        <rFont val="Times New Roman"/>
        <family val="1"/>
      </rPr>
      <t>15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</si>
  <si>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</si>
  <si>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</si>
  <si>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</si>
  <si>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15</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</si>
  <si>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15</t>
    </r>
  </si>
  <si>
    <t>COSTO POR UNIDAD DE PRODUCTO (15)</t>
  </si>
  <si>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</si>
  <si>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</si>
  <si>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</si>
  <si>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</si>
  <si>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AÑO 1 </t>
    </r>
    <r>
      <rPr>
        <i/>
        <sz val="12"/>
        <color theme="8" tint="0.39997558519241921"/>
        <rFont val="Times New Roman"/>
        <family val="1"/>
      </rPr>
      <t>15</t>
    </r>
  </si>
  <si>
    <r>
      <t xml:space="preserve">AÑO 2 </t>
    </r>
    <r>
      <rPr>
        <i/>
        <sz val="12"/>
        <color theme="8" tint="0.39997558519241921"/>
        <rFont val="Times New Roman"/>
        <family val="1"/>
      </rPr>
      <t>15</t>
    </r>
  </si>
  <si>
    <r>
      <t xml:space="preserve">AÑO 3 </t>
    </r>
    <r>
      <rPr>
        <i/>
        <sz val="12"/>
        <color theme="8" tint="0.39997558519241921"/>
        <rFont val="Times New Roman"/>
        <family val="1"/>
      </rPr>
      <t>15</t>
    </r>
  </si>
  <si>
    <r>
      <t xml:space="preserve">AÑO 4 </t>
    </r>
    <r>
      <rPr>
        <i/>
        <sz val="12"/>
        <color theme="8" tint="0.39997558519241921"/>
        <rFont val="Times New Roman"/>
        <family val="1"/>
      </rPr>
      <t>15</t>
    </r>
  </si>
  <si>
    <r>
      <t xml:space="preserve">AÑO 5 </t>
    </r>
    <r>
      <rPr>
        <i/>
        <sz val="12"/>
        <color theme="8" tint="0.39997558519241921"/>
        <rFont val="Times New Roman"/>
        <family val="1"/>
      </rPr>
      <t>15</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</si>
  <si>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16</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</si>
  <si>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</si>
  <si>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16</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</si>
  <si>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</si>
  <si>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CAMBIO PORCENTUAL EN UNIDADES VENDIDAS </t>
    </r>
    <r>
      <rPr>
        <u/>
        <sz val="12"/>
        <rFont val="Times New Roman"/>
        <family val="1"/>
      </rPr>
      <t xml:space="preserve">AÑO 3 </t>
    </r>
    <r>
      <rPr>
        <sz val="12"/>
        <color theme="7" tint="0.39997558519241921"/>
        <rFont val="Times New Roman"/>
        <family val="1"/>
      </rPr>
      <t>16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</si>
  <si>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</si>
  <si>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</si>
  <si>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</si>
  <si>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</si>
  <si>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16</t>
    </r>
  </si>
  <si>
    <t>COSTO POR UNIDAD DE PRODUCTO (16)</t>
  </si>
  <si>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</si>
  <si>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</si>
  <si>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</si>
  <si>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</si>
  <si>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AÑO 1 </t>
    </r>
    <r>
      <rPr>
        <i/>
        <sz val="12"/>
        <color theme="7" tint="0.39997558519241921"/>
        <rFont val="Times New Roman"/>
        <family val="1"/>
      </rPr>
      <t>16</t>
    </r>
  </si>
  <si>
    <r>
      <t xml:space="preserve">AÑO 2 </t>
    </r>
    <r>
      <rPr>
        <i/>
        <sz val="12"/>
        <color theme="7" tint="0.39997558519241921"/>
        <rFont val="Times New Roman"/>
        <family val="1"/>
      </rPr>
      <t>16</t>
    </r>
  </si>
  <si>
    <r>
      <t xml:space="preserve">AÑO 3 </t>
    </r>
    <r>
      <rPr>
        <i/>
        <sz val="12"/>
        <color theme="7" tint="0.39997558519241921"/>
        <rFont val="Times New Roman"/>
        <family val="1"/>
      </rPr>
      <t>16</t>
    </r>
  </si>
  <si>
    <r>
      <t xml:space="preserve">AÑO 4 </t>
    </r>
    <r>
      <rPr>
        <i/>
        <sz val="12"/>
        <color theme="7" tint="0.39997558519241921"/>
        <rFont val="Times New Roman"/>
        <family val="1"/>
      </rPr>
      <t>16</t>
    </r>
  </si>
  <si>
    <r>
      <t xml:space="preserve">AÑO 5 </t>
    </r>
    <r>
      <rPr>
        <i/>
        <sz val="12"/>
        <color theme="7" tint="0.39997558519241921"/>
        <rFont val="Times New Roman"/>
        <family val="1"/>
      </rPr>
      <t>16</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</si>
  <si>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17</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</si>
  <si>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</si>
  <si>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</si>
  <si>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</si>
  <si>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17</t>
    </r>
  </si>
  <si>
    <r>
      <t xml:space="preserve">CANTIDADES A UTILIZAR  </t>
    </r>
    <r>
      <rPr>
        <i/>
        <u/>
        <sz val="12"/>
        <rFont val="Times New Roman"/>
        <family val="1"/>
      </rPr>
      <t>AÑO 3</t>
    </r>
    <r>
      <rPr>
        <i/>
        <sz val="12"/>
        <color theme="8" tint="0.39997558519241921"/>
        <rFont val="Times New Roman"/>
        <family val="1"/>
      </rPr>
      <t xml:space="preserve"> 17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</si>
  <si>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17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</si>
  <si>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</si>
  <si>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</si>
  <si>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17</t>
    </r>
  </si>
  <si>
    <t>COSTO POR UNIDAD DE PRODUCTO (17)</t>
  </si>
  <si>
    <r>
      <t xml:space="preserve">COSTO UNITARIO </t>
    </r>
    <r>
      <rPr>
        <i/>
        <u/>
        <sz val="12"/>
        <rFont val="Times New Roman"/>
        <family val="1"/>
      </rPr>
      <t>AÑO 2</t>
    </r>
    <r>
      <rPr>
        <i/>
        <sz val="12"/>
        <color theme="8" tint="0.39997558519241921"/>
        <rFont val="Times New Roman"/>
        <family val="1"/>
      </rPr>
      <t xml:space="preserve"> 17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</si>
  <si>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</si>
  <si>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</si>
  <si>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</si>
  <si>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AÑO 1 </t>
    </r>
    <r>
      <rPr>
        <i/>
        <sz val="12"/>
        <color theme="8" tint="0.39997558519241921"/>
        <rFont val="Times New Roman"/>
        <family val="1"/>
      </rPr>
      <t>17</t>
    </r>
  </si>
  <si>
    <r>
      <t xml:space="preserve">AÑO 2 </t>
    </r>
    <r>
      <rPr>
        <i/>
        <sz val="12"/>
        <color theme="8" tint="0.39997558519241921"/>
        <rFont val="Times New Roman"/>
        <family val="1"/>
      </rPr>
      <t>17</t>
    </r>
  </si>
  <si>
    <r>
      <t xml:space="preserve">AÑO 3 </t>
    </r>
    <r>
      <rPr>
        <i/>
        <sz val="12"/>
        <color theme="8" tint="0.39997558519241921"/>
        <rFont val="Times New Roman"/>
        <family val="1"/>
      </rPr>
      <t>17</t>
    </r>
  </si>
  <si>
    <r>
      <t xml:space="preserve">AÑO 4 </t>
    </r>
    <r>
      <rPr>
        <i/>
        <sz val="12"/>
        <color theme="8" tint="0.39997558519241921"/>
        <rFont val="Times New Roman"/>
        <family val="1"/>
      </rPr>
      <t>17</t>
    </r>
  </si>
  <si>
    <r>
      <t xml:space="preserve">AÑO 5 </t>
    </r>
    <r>
      <rPr>
        <i/>
        <sz val="12"/>
        <color theme="8" tint="0.39997558519241921"/>
        <rFont val="Times New Roman"/>
        <family val="1"/>
      </rPr>
      <t>17</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</si>
  <si>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18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</si>
  <si>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18</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</si>
  <si>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</si>
  <si>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</si>
  <si>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18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</si>
  <si>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</si>
  <si>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</si>
  <si>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18</t>
    </r>
    <r>
      <rPr>
        <i/>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</si>
  <si>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18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</si>
  <si>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</si>
  <si>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t>COSTO POR UNIDAD DE PRODUCTO (18)</t>
  </si>
  <si>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</si>
  <si>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</si>
  <si>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</si>
  <si>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</si>
  <si>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AÑO 1 </t>
    </r>
    <r>
      <rPr>
        <i/>
        <sz val="12"/>
        <color theme="7" tint="0.39997558519241921"/>
        <rFont val="Times New Roman"/>
        <family val="1"/>
      </rPr>
      <t xml:space="preserve">18 </t>
    </r>
  </si>
  <si>
    <r>
      <t xml:space="preserve">AÑO 2 </t>
    </r>
    <r>
      <rPr>
        <i/>
        <sz val="12"/>
        <color theme="7" tint="0.39997558519241921"/>
        <rFont val="Times New Roman"/>
        <family val="1"/>
      </rPr>
      <t xml:space="preserve">18 </t>
    </r>
  </si>
  <si>
    <r>
      <t xml:space="preserve">AÑO 3 </t>
    </r>
    <r>
      <rPr>
        <i/>
        <sz val="12"/>
        <color theme="7" tint="0.39997558519241921"/>
        <rFont val="Times New Roman"/>
        <family val="1"/>
      </rPr>
      <t xml:space="preserve">18 </t>
    </r>
  </si>
  <si>
    <r>
      <t xml:space="preserve">AÑO 4 </t>
    </r>
    <r>
      <rPr>
        <i/>
        <sz val="12"/>
        <color theme="7" tint="0.39997558519241921"/>
        <rFont val="Times New Roman"/>
        <family val="1"/>
      </rPr>
      <t>18</t>
    </r>
    <r>
      <rPr>
        <i/>
        <sz val="12"/>
        <rFont val="Times New Roman"/>
        <family val="1"/>
      </rPr>
      <t xml:space="preserve"> </t>
    </r>
  </si>
  <si>
    <r>
      <t xml:space="preserve">AÑO 5 </t>
    </r>
    <r>
      <rPr>
        <i/>
        <sz val="12"/>
        <color theme="7" tint="0.39997558519241921"/>
        <rFont val="Times New Roman"/>
        <family val="1"/>
      </rPr>
      <t xml:space="preserve">18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</si>
  <si>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19</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</si>
  <si>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19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</si>
  <si>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</si>
  <si>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19</t>
    </r>
    <r>
      <rPr>
        <i/>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</si>
  <si>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19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</si>
  <si>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19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</si>
  <si>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</si>
  <si>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 xml:space="preserve">19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</si>
  <si>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19</t>
    </r>
    <r>
      <rPr>
        <sz val="12"/>
        <rFont val="Times New Roman"/>
        <family val="1"/>
      </rPr>
      <t xml:space="preserve"> </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</si>
  <si>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</si>
  <si>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t>COSTO POR UNIDAD DE PRODUCTO (19)</t>
  </si>
  <si>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</si>
  <si>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3</t>
    </r>
    <r>
      <rPr>
        <i/>
        <sz val="12"/>
        <color theme="8" tint="0.39997558519241921"/>
        <rFont val="Times New Roman"/>
        <family val="1"/>
      </rPr>
      <t xml:space="preserve"> 19 </t>
    </r>
  </si>
  <si>
    <r>
      <t xml:space="preserve">COSTO UNITARIO </t>
    </r>
    <r>
      <rPr>
        <i/>
        <u/>
        <sz val="12"/>
        <rFont val="Times New Roman"/>
        <family val="1"/>
      </rPr>
      <t>AÑO 4</t>
    </r>
    <r>
      <rPr>
        <i/>
        <sz val="12"/>
        <color theme="8" tint="0.39997558519241921"/>
        <rFont val="Times New Roman"/>
        <family val="1"/>
      </rPr>
      <t xml:space="preserve"> 19</t>
    </r>
    <r>
      <rPr>
        <i/>
        <sz val="12"/>
        <rFont val="Times New Roman"/>
        <family val="1"/>
      </rPr>
      <t xml:space="preserve">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</si>
  <si>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</si>
  <si>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AÑO 1 </t>
    </r>
    <r>
      <rPr>
        <i/>
        <sz val="12"/>
        <color theme="8" tint="0.39997558519241921"/>
        <rFont val="Times New Roman"/>
        <family val="1"/>
      </rPr>
      <t xml:space="preserve">19 </t>
    </r>
  </si>
  <si>
    <r>
      <t>AÑO 2</t>
    </r>
    <r>
      <rPr>
        <i/>
        <sz val="12"/>
        <color theme="8" tint="0.39997558519241921"/>
        <rFont val="Times New Roman"/>
        <family val="1"/>
      </rPr>
      <t xml:space="preserve"> 19 </t>
    </r>
  </si>
  <si>
    <r>
      <t xml:space="preserve">AÑO 3 </t>
    </r>
    <r>
      <rPr>
        <i/>
        <sz val="12"/>
        <color theme="8" tint="0.39997558519241921"/>
        <rFont val="Times New Roman"/>
        <family val="1"/>
      </rPr>
      <t xml:space="preserve">19 </t>
    </r>
  </si>
  <si>
    <r>
      <t xml:space="preserve">AÑO 4 </t>
    </r>
    <r>
      <rPr>
        <i/>
        <sz val="12"/>
        <color theme="8" tint="0.39997558519241921"/>
        <rFont val="Times New Roman"/>
        <family val="1"/>
      </rPr>
      <t>19</t>
    </r>
    <r>
      <rPr>
        <i/>
        <sz val="12"/>
        <rFont val="Times New Roman"/>
        <family val="1"/>
      </rPr>
      <t xml:space="preserve"> </t>
    </r>
  </si>
  <si>
    <r>
      <t xml:space="preserve">AÑO 5 </t>
    </r>
    <r>
      <rPr>
        <i/>
        <sz val="12"/>
        <color theme="8" tint="0.39997558519241921"/>
        <rFont val="Times New Roman"/>
        <family val="1"/>
      </rPr>
      <t xml:space="preserve">19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</si>
  <si>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20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</si>
  <si>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20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</si>
  <si>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20 </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</si>
  <si>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</si>
  <si>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20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</si>
  <si>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</si>
  <si>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20</t>
    </r>
    <r>
      <rPr>
        <sz val="12"/>
        <rFont val="Times New Roman"/>
        <family val="1"/>
      </rPr>
      <t xml:space="preserve">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</si>
  <si>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</si>
  <si>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20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</si>
  <si>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</si>
  <si>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t>COSTO POR UNIDAD DE PRODUCTO (20)</t>
  </si>
  <si>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</si>
  <si>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</si>
  <si>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</si>
  <si>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</si>
  <si>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AÑO 1 </t>
    </r>
    <r>
      <rPr>
        <i/>
        <sz val="12"/>
        <color theme="7" tint="0.39997558519241921"/>
        <rFont val="Times New Roman"/>
        <family val="1"/>
      </rPr>
      <t xml:space="preserve">20 </t>
    </r>
  </si>
  <si>
    <r>
      <t xml:space="preserve">AÑO 2 </t>
    </r>
    <r>
      <rPr>
        <i/>
        <sz val="12"/>
        <color theme="7" tint="0.39997558519241921"/>
        <rFont val="Times New Roman"/>
        <family val="1"/>
      </rPr>
      <t xml:space="preserve">20 </t>
    </r>
  </si>
  <si>
    <r>
      <t xml:space="preserve">AÑO 3 </t>
    </r>
    <r>
      <rPr>
        <i/>
        <sz val="12"/>
        <color theme="7" tint="0.39997558519241921"/>
        <rFont val="Times New Roman"/>
        <family val="1"/>
      </rPr>
      <t xml:space="preserve">20 </t>
    </r>
  </si>
  <si>
    <r>
      <t xml:space="preserve">AÑO 4 </t>
    </r>
    <r>
      <rPr>
        <i/>
        <sz val="12"/>
        <color theme="7" tint="0.39997558519241921"/>
        <rFont val="Times New Roman"/>
        <family val="1"/>
      </rPr>
      <t xml:space="preserve">20 </t>
    </r>
  </si>
  <si>
    <r>
      <t xml:space="preserve">AÑO 5 </t>
    </r>
    <r>
      <rPr>
        <i/>
        <sz val="12"/>
        <color theme="7" tint="0.39997558519241921"/>
        <rFont val="Times New Roman"/>
        <family val="1"/>
      </rPr>
      <t xml:space="preserve">20 </t>
    </r>
  </si>
  <si>
    <r>
      <t xml:space="preserve">AÑO 1 </t>
    </r>
    <r>
      <rPr>
        <b/>
        <sz val="12"/>
        <color theme="6" tint="0.39997558519241921"/>
        <rFont val="Times New Roman"/>
        <family val="1"/>
      </rPr>
      <t>21</t>
    </r>
  </si>
  <si>
    <r>
      <t xml:space="preserve">AÑO 2 </t>
    </r>
    <r>
      <rPr>
        <b/>
        <sz val="12"/>
        <color theme="6" tint="0.39997558519241921"/>
        <rFont val="Times New Roman"/>
        <family val="1"/>
      </rPr>
      <t>21</t>
    </r>
  </si>
  <si>
    <r>
      <t xml:space="preserve">AÑO 3 </t>
    </r>
    <r>
      <rPr>
        <b/>
        <sz val="12"/>
        <color theme="6" tint="0.39997558519241921"/>
        <rFont val="Times New Roman"/>
        <family val="1"/>
      </rPr>
      <t>21</t>
    </r>
  </si>
  <si>
    <r>
      <t xml:space="preserve">AÑO 4 </t>
    </r>
    <r>
      <rPr>
        <b/>
        <sz val="12"/>
        <color theme="6" tint="0.39997558519241921"/>
        <rFont val="Times New Roman"/>
        <family val="1"/>
      </rPr>
      <t>21</t>
    </r>
  </si>
  <si>
    <r>
      <t>AÑO 5</t>
    </r>
    <r>
      <rPr>
        <b/>
        <sz val="12"/>
        <color theme="6" tint="0.39997558519241921"/>
        <rFont val="Times New Roman"/>
        <family val="1"/>
      </rPr>
      <t xml:space="preserve"> 21</t>
    </r>
  </si>
  <si>
    <t xml:space="preserve">MANO DE OBRA DIRECTA </t>
  </si>
  <si>
    <t>CANTIDADES A UTILIZAR</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</si>
  <si>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</si>
  <si>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</si>
  <si>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</si>
  <si>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</si>
  <si>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</si>
  <si>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</si>
  <si>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</si>
  <si>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</si>
  <si>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</si>
  <si>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</si>
  <si>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</si>
  <si>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</si>
  <si>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</si>
  <si>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</si>
  <si>
    <r>
      <t xml:space="preserve">AÑO 1 </t>
    </r>
    <r>
      <rPr>
        <sz val="12"/>
        <color theme="8" tint="0.39997558519241921"/>
        <rFont val="Times New Roman"/>
        <family val="1"/>
      </rPr>
      <t>1</t>
    </r>
  </si>
  <si>
    <r>
      <t xml:space="preserve">AÑO 2 </t>
    </r>
    <r>
      <rPr>
        <sz val="12"/>
        <color theme="8" tint="0.39997558519241921"/>
        <rFont val="Times New Roman"/>
        <family val="1"/>
      </rPr>
      <t>1</t>
    </r>
  </si>
  <si>
    <r>
      <t xml:space="preserve">AÑO 3 </t>
    </r>
    <r>
      <rPr>
        <sz val="12"/>
        <color theme="8" tint="0.39997558519241921"/>
        <rFont val="Times New Roman"/>
        <family val="1"/>
      </rPr>
      <t>1</t>
    </r>
  </si>
  <si>
    <r>
      <t xml:space="preserve">AÑO 4 </t>
    </r>
    <r>
      <rPr>
        <sz val="12"/>
        <color theme="8" tint="0.39997558519241921"/>
        <rFont val="Times New Roman"/>
        <family val="1"/>
      </rPr>
      <t>1</t>
    </r>
  </si>
  <si>
    <r>
      <t xml:space="preserve">AÑO 5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</si>
  <si>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</si>
  <si>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</si>
  <si>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</si>
  <si>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</si>
  <si>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CANTIDADES A UTILIZAR EN EL </t>
    </r>
    <r>
      <rPr>
        <u/>
        <sz val="12"/>
        <rFont val="Times New Roman"/>
        <family val="1"/>
      </rPr>
      <t xml:space="preserve">AÑO </t>
    </r>
    <r>
      <rPr>
        <sz val="12"/>
        <rFont val="Times New Roman"/>
        <family val="1"/>
      </rPr>
      <t xml:space="preserve">3 </t>
    </r>
    <r>
      <rPr>
        <sz val="12"/>
        <color theme="7" tint="0.39997558519241921"/>
        <rFont val="Times New Roman"/>
        <family val="1"/>
      </rPr>
      <t>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</si>
  <si>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</si>
  <si>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</si>
  <si>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</si>
  <si>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</si>
  <si>
    <t xml:space="preserve">COSTO POR UNIDAD DE PRODUCTO (2) </t>
  </si>
  <si>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</si>
  <si>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</si>
  <si>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</si>
  <si>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2 </t>
    </r>
  </si>
  <si>
    <r>
      <t>AÑO 1</t>
    </r>
    <r>
      <rPr>
        <sz val="12"/>
        <color theme="7" tint="0.39997558519241921"/>
        <rFont val="Times New Roman"/>
        <family val="1"/>
      </rPr>
      <t xml:space="preserve"> 2</t>
    </r>
  </si>
  <si>
    <r>
      <t>AÑO 2</t>
    </r>
    <r>
      <rPr>
        <sz val="12"/>
        <color theme="7" tint="0.39997558519241921"/>
        <rFont val="Times New Roman"/>
        <family val="1"/>
      </rPr>
      <t xml:space="preserve"> 2</t>
    </r>
  </si>
  <si>
    <r>
      <t xml:space="preserve">AÑO 3 </t>
    </r>
    <r>
      <rPr>
        <sz val="12"/>
        <color theme="7" tint="0.39997558519241921"/>
        <rFont val="Times New Roman"/>
        <family val="1"/>
      </rPr>
      <t>2</t>
    </r>
  </si>
  <si>
    <r>
      <t xml:space="preserve">AÑO 4 </t>
    </r>
    <r>
      <rPr>
        <sz val="12"/>
        <color theme="7" tint="0.39997558519241921"/>
        <rFont val="Times New Roman"/>
        <family val="1"/>
      </rPr>
      <t>2</t>
    </r>
  </si>
  <si>
    <r>
      <t xml:space="preserve">AÑO 5 </t>
    </r>
    <r>
      <rPr>
        <sz val="12"/>
        <color theme="7" tint="0.39997558519241921"/>
        <rFont val="Times New Roman"/>
        <family val="1"/>
      </rPr>
      <t>2</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</si>
  <si>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3</t>
    </r>
  </si>
  <si>
    <r>
      <t>CAMBIO PORCENTUAL EN UNIDADES VENDIDAS</t>
    </r>
    <r>
      <rPr>
        <u/>
        <sz val="12"/>
        <rFont val="Times New Roman"/>
        <family val="1"/>
      </rPr>
      <t xml:space="preserve"> AÑO 2</t>
    </r>
    <r>
      <rPr>
        <sz val="12"/>
        <color theme="8" tint="0.39997558519241921"/>
        <rFont val="Times New Roman"/>
        <family val="1"/>
      </rPr>
      <t xml:space="preserve"> 3</t>
    </r>
  </si>
  <si>
    <r>
      <t xml:space="preserve">CANTIDADES A UTILIZAR EN EL </t>
    </r>
    <r>
      <rPr>
        <u/>
        <sz val="12"/>
        <rFont val="Times New Roman"/>
        <family val="1"/>
      </rPr>
      <t>AÑO 2</t>
    </r>
    <r>
      <rPr>
        <sz val="12"/>
        <color theme="8" tint="0.39997558519241921"/>
        <rFont val="Times New Roman"/>
        <family val="1"/>
      </rPr>
      <t xml:space="preserve"> 3</t>
    </r>
  </si>
  <si>
    <r>
      <t xml:space="preserve">CAMBIO PORCENTUAL EN UNIDADES VENDIDAS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</si>
  <si>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</si>
  <si>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4</t>
    </r>
    <r>
      <rPr>
        <sz val="12"/>
        <color theme="8" tint="0.39997558519241921"/>
        <rFont val="Times New Roman"/>
        <family val="1"/>
      </rPr>
      <t xml:space="preserve"> 3</t>
    </r>
  </si>
  <si>
    <r>
      <t xml:space="preserve">CAMBIO PORCENTUAL EN UNIDADES VENDIDAS </t>
    </r>
    <r>
      <rPr>
        <u/>
        <sz val="12"/>
        <rFont val="Times New Roman"/>
        <family val="1"/>
      </rPr>
      <t>AÑO 5</t>
    </r>
    <r>
      <rPr>
        <sz val="12"/>
        <color theme="8" tint="0.39997558519241921"/>
        <rFont val="Times New Roman"/>
        <family val="1"/>
      </rPr>
      <t xml:space="preserve"> 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</si>
  <si>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</si>
  <si>
    <t xml:space="preserve">COSTO POR UNIDAD DE PRODUCTO (3) </t>
  </si>
  <si>
    <r>
      <t xml:space="preserve">COSTO UNITARIO </t>
    </r>
    <r>
      <rPr>
        <u/>
        <sz val="12"/>
        <rFont val="Times New Roman"/>
        <family val="1"/>
      </rPr>
      <t>AÑO 2</t>
    </r>
    <r>
      <rPr>
        <sz val="12"/>
        <color theme="8" tint="0.39997558519241921"/>
        <rFont val="Times New Roman"/>
        <family val="1"/>
      </rPr>
      <t xml:space="preserve"> 3</t>
    </r>
  </si>
  <si>
    <r>
      <t xml:space="preserve">COSTO UNITARIO </t>
    </r>
    <r>
      <rPr>
        <u/>
        <sz val="12"/>
        <rFont val="Times New Roman"/>
        <family val="1"/>
      </rPr>
      <t>AÑO 3</t>
    </r>
    <r>
      <rPr>
        <sz val="12"/>
        <color theme="8" tint="0.39997558519241921"/>
        <rFont val="Times New Roman"/>
        <family val="1"/>
      </rPr>
      <t xml:space="preserve"> 3</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</si>
  <si>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</si>
  <si>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u/>
        <sz val="12"/>
        <color theme="8" tint="0.39997558519241921"/>
        <rFont val="Times New Roman"/>
        <family val="1"/>
      </rPr>
      <t>3</t>
    </r>
  </si>
  <si>
    <r>
      <t>AÑO 1</t>
    </r>
    <r>
      <rPr>
        <sz val="12"/>
        <color theme="8" tint="0.39997558519241921"/>
        <rFont val="Times New Roman"/>
        <family val="1"/>
      </rPr>
      <t xml:space="preserve"> 3</t>
    </r>
  </si>
  <si>
    <r>
      <t>AÑO 2</t>
    </r>
    <r>
      <rPr>
        <sz val="12"/>
        <color theme="8" tint="0.39997558519241921"/>
        <rFont val="Times New Roman"/>
        <family val="1"/>
      </rPr>
      <t xml:space="preserve"> 3</t>
    </r>
  </si>
  <si>
    <r>
      <t>AÑO 3</t>
    </r>
    <r>
      <rPr>
        <sz val="12"/>
        <color theme="8" tint="0.39997558519241921"/>
        <rFont val="Times New Roman"/>
        <family val="1"/>
      </rPr>
      <t xml:space="preserve"> 3</t>
    </r>
  </si>
  <si>
    <r>
      <t>AÑO 4</t>
    </r>
    <r>
      <rPr>
        <sz val="12"/>
        <color theme="8" tint="0.39997558519241921"/>
        <rFont val="Times New Roman"/>
        <family val="1"/>
      </rPr>
      <t xml:space="preserve"> 3</t>
    </r>
  </si>
  <si>
    <r>
      <t xml:space="preserve">AÑO 5 </t>
    </r>
    <r>
      <rPr>
        <sz val="12"/>
        <color theme="8" tint="0.39997558519241921"/>
        <rFont val="Times New Roman"/>
        <family val="1"/>
      </rPr>
      <t>3</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</si>
  <si>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</si>
  <si>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</si>
  <si>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3</t>
    </r>
    <r>
      <rPr>
        <sz val="12"/>
        <color theme="7" tint="0.39997558519241921"/>
        <rFont val="Times New Roman"/>
        <family val="1"/>
      </rPr>
      <t xml:space="preserve"> 4</t>
    </r>
  </si>
  <si>
    <r>
      <t xml:space="preserve">CAMBIO PORCENTUAL EN UNIDADES VENDIDAS </t>
    </r>
    <r>
      <rPr>
        <u/>
        <sz val="12"/>
        <rFont val="Times New Roman"/>
        <family val="1"/>
      </rPr>
      <t>AÑO 4</t>
    </r>
    <r>
      <rPr>
        <sz val="12"/>
        <color theme="7" tint="0.39997558519241921"/>
        <rFont val="Times New Roman"/>
        <family val="1"/>
      </rPr>
      <t xml:space="preserve"> 4</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</si>
  <si>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</si>
  <si>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4 </t>
    </r>
  </si>
  <si>
    <t>COSTO POR UNIDAD DE PRODUCTO (4)</t>
  </si>
  <si>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</si>
  <si>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</si>
  <si>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</si>
  <si>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</si>
  <si>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AÑO 1 </t>
    </r>
    <r>
      <rPr>
        <sz val="12"/>
        <color theme="7" tint="0.39997558519241921"/>
        <rFont val="Times New Roman"/>
        <family val="1"/>
      </rPr>
      <t>4</t>
    </r>
  </si>
  <si>
    <r>
      <t xml:space="preserve">AÑO 2 </t>
    </r>
    <r>
      <rPr>
        <sz val="12"/>
        <color theme="7" tint="0.39997558519241921"/>
        <rFont val="Times New Roman"/>
        <family val="1"/>
      </rPr>
      <t>4</t>
    </r>
  </si>
  <si>
    <r>
      <t xml:space="preserve">AÑO 3 </t>
    </r>
    <r>
      <rPr>
        <sz val="12"/>
        <color theme="7" tint="0.39997558519241921"/>
        <rFont val="Times New Roman"/>
        <family val="1"/>
      </rPr>
      <t>4</t>
    </r>
  </si>
  <si>
    <r>
      <t xml:space="preserve">AÑO 4 </t>
    </r>
    <r>
      <rPr>
        <sz val="12"/>
        <color theme="7" tint="0.39997558519241921"/>
        <rFont val="Times New Roman"/>
        <family val="1"/>
      </rPr>
      <t xml:space="preserve">4 </t>
    </r>
  </si>
  <si>
    <r>
      <t xml:space="preserve">AÑO 5 </t>
    </r>
    <r>
      <rPr>
        <sz val="12"/>
        <color theme="7" tint="0.39997558519241921"/>
        <rFont val="Times New Roman"/>
        <family val="1"/>
      </rPr>
      <t>4</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</si>
  <si>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</si>
  <si>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</si>
  <si>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color theme="8" tint="0.39997558519241921"/>
        <rFont val="Times New Roman"/>
        <family val="1"/>
      </rPr>
      <t xml:space="preserve"> 5</t>
    </r>
  </si>
  <si>
    <r>
      <t xml:space="preserve">CANTIDADES A UTILIZAR EN EL </t>
    </r>
    <r>
      <rPr>
        <u/>
        <sz val="12"/>
        <rFont val="Times New Roman"/>
        <family val="1"/>
      </rPr>
      <t>AÑO 3</t>
    </r>
    <r>
      <rPr>
        <sz val="12"/>
        <color theme="8" tint="0.39997558519241921"/>
        <rFont val="Times New Roman"/>
        <family val="1"/>
      </rPr>
      <t xml:space="preserve"> 5 </t>
    </r>
  </si>
  <si>
    <r>
      <t>CAMBIO PORCENTUAL EN UNIDADES VENDIDAS</t>
    </r>
    <r>
      <rPr>
        <u/>
        <sz val="12"/>
        <rFont val="Times New Roman"/>
        <family val="1"/>
      </rPr>
      <t xml:space="preserve"> AÑO 4</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</si>
  <si>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4</t>
    </r>
    <r>
      <rPr>
        <sz val="12"/>
        <color theme="8" tint="0.39997558519241921"/>
        <rFont val="Times New Roman"/>
        <family val="1"/>
      </rPr>
      <t xml:space="preserve"> 5</t>
    </r>
  </si>
  <si>
    <r>
      <t xml:space="preserve">CANTIDADES A UTILIZAR </t>
    </r>
    <r>
      <rPr>
        <u/>
        <sz val="12"/>
        <rFont val="Times New Roman"/>
        <family val="1"/>
      </rPr>
      <t>AÑO 5</t>
    </r>
    <r>
      <rPr>
        <sz val="12"/>
        <color theme="8" tint="0.39997558519241921"/>
        <rFont val="Times New Roman"/>
        <family val="1"/>
      </rPr>
      <t xml:space="preserve"> 5</t>
    </r>
  </si>
  <si>
    <t xml:space="preserve">COSTO POR UNIDAD DE PRODUCTO (5) </t>
  </si>
  <si>
    <r>
      <t xml:space="preserve">COSTO UNITARIO </t>
    </r>
    <r>
      <rPr>
        <u/>
        <sz val="12"/>
        <rFont val="Times New Roman"/>
        <family val="1"/>
      </rPr>
      <t>AÑO 2</t>
    </r>
    <r>
      <rPr>
        <sz val="12"/>
        <color theme="8" tint="0.39997558519241921"/>
        <rFont val="Times New Roman"/>
        <family val="1"/>
      </rPr>
      <t xml:space="preserve"> 5</t>
    </r>
  </si>
  <si>
    <r>
      <t xml:space="preserve">COSTO UNITARIO </t>
    </r>
    <r>
      <rPr>
        <u/>
        <sz val="12"/>
        <rFont val="Times New Roman"/>
        <family val="1"/>
      </rPr>
      <t xml:space="preserve">AÑO 3 </t>
    </r>
    <r>
      <rPr>
        <sz val="12"/>
        <color theme="8" tint="0.39997558519241921"/>
        <rFont val="Times New Roman"/>
        <family val="1"/>
      </rPr>
      <t>5</t>
    </r>
  </si>
  <si>
    <r>
      <t xml:space="preserve">COSTO UNITARIO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</si>
  <si>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</si>
  <si>
    <r>
      <t xml:space="preserve">AÑO 1 </t>
    </r>
    <r>
      <rPr>
        <sz val="12"/>
        <color theme="8" tint="0.39997558519241921"/>
        <rFont val="Times New Roman"/>
        <family val="1"/>
      </rPr>
      <t>5</t>
    </r>
  </si>
  <si>
    <r>
      <t xml:space="preserve">AÑO 2 </t>
    </r>
    <r>
      <rPr>
        <sz val="12"/>
        <color theme="8" tint="0.39997558519241921"/>
        <rFont val="Times New Roman"/>
        <family val="1"/>
      </rPr>
      <t>5</t>
    </r>
  </si>
  <si>
    <r>
      <t>AÑO 3</t>
    </r>
    <r>
      <rPr>
        <sz val="12"/>
        <color theme="8" tint="0.39997558519241921"/>
        <rFont val="Times New Roman"/>
        <family val="1"/>
      </rPr>
      <t xml:space="preserve"> 5</t>
    </r>
  </si>
  <si>
    <r>
      <t xml:space="preserve">AÑO 4 </t>
    </r>
    <r>
      <rPr>
        <sz val="12"/>
        <color theme="8" tint="0.39997558519241921"/>
        <rFont val="Times New Roman"/>
        <family val="1"/>
      </rPr>
      <t>5</t>
    </r>
  </si>
  <si>
    <r>
      <t>AÑO 5</t>
    </r>
    <r>
      <rPr>
        <sz val="12"/>
        <color theme="8" tint="0.39997558519241921"/>
        <rFont val="Times New Roman"/>
        <family val="1"/>
      </rPr>
      <t xml:space="preserve"> 5</t>
    </r>
  </si>
  <si>
    <r>
      <t xml:space="preserve">UNIDADES PRODUCIDAS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</si>
  <si>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</si>
  <si>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</si>
  <si>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</si>
  <si>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</si>
  <si>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</si>
  <si>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6</t>
    </r>
  </si>
  <si>
    <t xml:space="preserve">COSTO POR UNIDAD DE PRODUCTO (6) </t>
  </si>
  <si>
    <r>
      <t>COSTO UNITARIO</t>
    </r>
    <r>
      <rPr>
        <u/>
        <sz val="12"/>
        <rFont val="Times New Roman"/>
        <family val="1"/>
      </rPr>
      <t xml:space="preserve"> 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</si>
  <si>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</si>
  <si>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4</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</si>
  <si>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6</t>
    </r>
  </si>
  <si>
    <r>
      <t xml:space="preserve">AÑO 1 </t>
    </r>
    <r>
      <rPr>
        <sz val="12"/>
        <color theme="7" tint="0.39997558519241921"/>
        <rFont val="Times New Roman"/>
        <family val="1"/>
      </rPr>
      <t>6</t>
    </r>
  </si>
  <si>
    <r>
      <t xml:space="preserve">AÑO 2 </t>
    </r>
    <r>
      <rPr>
        <sz val="12"/>
        <color theme="7" tint="0.39997558519241921"/>
        <rFont val="Times New Roman"/>
        <family val="1"/>
      </rPr>
      <t>6</t>
    </r>
  </si>
  <si>
    <r>
      <t xml:space="preserve">AÑO 3 </t>
    </r>
    <r>
      <rPr>
        <sz val="12"/>
        <color theme="7" tint="0.39997558519241921"/>
        <rFont val="Times New Roman"/>
        <family val="1"/>
      </rPr>
      <t>6</t>
    </r>
  </si>
  <si>
    <r>
      <t xml:space="preserve">AÑO 4 </t>
    </r>
    <r>
      <rPr>
        <sz val="12"/>
        <color theme="7" tint="0.39997558519241921"/>
        <rFont val="Times New Roman"/>
        <family val="1"/>
      </rPr>
      <t>6</t>
    </r>
  </si>
  <si>
    <r>
      <t xml:space="preserve">AÑO 5 </t>
    </r>
    <r>
      <rPr>
        <sz val="12"/>
        <color theme="7" tint="0.39997558519241921"/>
        <rFont val="Times New Roman"/>
        <family val="1"/>
      </rPr>
      <t>6</t>
    </r>
  </si>
  <si>
    <r>
      <t xml:space="preserve">CANTIDADES A UTILIZAR EN EL </t>
    </r>
    <r>
      <rPr>
        <u/>
        <sz val="12"/>
        <rFont val="Times New Roman"/>
        <family val="1"/>
      </rPr>
      <t>AÑO 1</t>
    </r>
    <r>
      <rPr>
        <sz val="12"/>
        <color theme="8" tint="0.39997558519241921"/>
        <rFont val="Times New Roman"/>
        <family val="1"/>
      </rPr>
      <t xml:space="preserve"> 7</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</si>
  <si>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</si>
  <si>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3</t>
    </r>
    <r>
      <rPr>
        <sz val="12"/>
        <color theme="8" tint="0.39997558519241921"/>
        <rFont val="Times New Roman"/>
        <family val="1"/>
      </rPr>
      <t xml:space="preserve"> 7</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</si>
  <si>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</si>
  <si>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</si>
  <si>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7</t>
    </r>
  </si>
  <si>
    <t xml:space="preserve">COSTO POR UNIDAD DE PRODUCTO (7) </t>
  </si>
  <si>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</si>
  <si>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</si>
  <si>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</si>
  <si>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7</t>
    </r>
  </si>
  <si>
    <r>
      <t xml:space="preserve">AÑO 1 </t>
    </r>
    <r>
      <rPr>
        <sz val="12"/>
        <color theme="8" tint="0.39997558519241921"/>
        <rFont val="Times New Roman"/>
        <family val="1"/>
      </rPr>
      <t>7</t>
    </r>
  </si>
  <si>
    <r>
      <t>AÑO 2</t>
    </r>
    <r>
      <rPr>
        <sz val="12"/>
        <color theme="8" tint="0.39997558519241921"/>
        <rFont val="Times New Roman"/>
        <family val="1"/>
      </rPr>
      <t xml:space="preserve"> 7</t>
    </r>
  </si>
  <si>
    <r>
      <t xml:space="preserve">AÑO 3 </t>
    </r>
    <r>
      <rPr>
        <sz val="12"/>
        <color theme="8" tint="0.39997558519241921"/>
        <rFont val="Times New Roman"/>
        <family val="1"/>
      </rPr>
      <t>7</t>
    </r>
  </si>
  <si>
    <r>
      <t xml:space="preserve">AÑO 4 </t>
    </r>
    <r>
      <rPr>
        <sz val="12"/>
        <color theme="8" tint="0.39997558519241921"/>
        <rFont val="Times New Roman"/>
        <family val="1"/>
      </rPr>
      <t>7</t>
    </r>
  </si>
  <si>
    <r>
      <t>AÑO 5</t>
    </r>
    <r>
      <rPr>
        <sz val="12"/>
        <color theme="8" tint="0.39997558519241921"/>
        <rFont val="Times New Roman"/>
        <family val="1"/>
      </rPr>
      <t xml:space="preserve"> 7</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</si>
  <si>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</si>
  <si>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2</t>
    </r>
    <r>
      <rPr>
        <sz val="12"/>
        <color theme="7" tint="0.39997558519241921"/>
        <rFont val="Times New Roman"/>
        <family val="1"/>
      </rPr>
      <t xml:space="preserve"> 8</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</si>
  <si>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</si>
  <si>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</si>
  <si>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</si>
  <si>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8</t>
    </r>
  </si>
  <si>
    <t xml:space="preserve">COSTO POR UNIDAD DE PRODUCTO (8) </t>
  </si>
  <si>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</si>
  <si>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</si>
  <si>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</si>
  <si>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5</t>
    </r>
    <r>
      <rPr>
        <sz val="12"/>
        <color theme="7" tint="0.39997558519241921"/>
        <rFont val="Times New Roman"/>
        <family val="1"/>
      </rPr>
      <t xml:space="preserve"> 8</t>
    </r>
  </si>
  <si>
    <r>
      <t>AÑO 1</t>
    </r>
    <r>
      <rPr>
        <sz val="12"/>
        <color theme="7" tint="0.39997558519241921"/>
        <rFont val="Times New Roman"/>
        <family val="1"/>
      </rPr>
      <t xml:space="preserve"> 8</t>
    </r>
  </si>
  <si>
    <r>
      <t xml:space="preserve">AÑO 2 </t>
    </r>
    <r>
      <rPr>
        <sz val="12"/>
        <color theme="7" tint="0.39997558519241921"/>
        <rFont val="Times New Roman"/>
        <family val="1"/>
      </rPr>
      <t>8</t>
    </r>
  </si>
  <si>
    <r>
      <t xml:space="preserve">AÑO 3 </t>
    </r>
    <r>
      <rPr>
        <sz val="12"/>
        <color theme="7" tint="0.39997558519241921"/>
        <rFont val="Times New Roman"/>
        <family val="1"/>
      </rPr>
      <t>8</t>
    </r>
  </si>
  <si>
    <r>
      <t xml:space="preserve">AÑO 4 </t>
    </r>
    <r>
      <rPr>
        <sz val="12"/>
        <color theme="7" tint="0.39997558519241921"/>
        <rFont val="Times New Roman"/>
        <family val="1"/>
      </rPr>
      <t>8</t>
    </r>
  </si>
  <si>
    <r>
      <t xml:space="preserve">AÑO 5 </t>
    </r>
    <r>
      <rPr>
        <sz val="12"/>
        <color theme="7" tint="0.39997558519241921"/>
        <rFont val="Times New Roman"/>
        <family val="1"/>
      </rPr>
      <t>8</t>
    </r>
  </si>
  <si>
    <r>
      <t>UNIDADES PRODUCIDAS</t>
    </r>
    <r>
      <rPr>
        <u/>
        <sz val="12"/>
        <rFont val="Times New Roman"/>
        <family val="1"/>
      </rPr>
      <t xml:space="preserve"> 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</si>
  <si>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</si>
  <si>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2</t>
    </r>
    <r>
      <rPr>
        <sz val="12"/>
        <color theme="8" tint="0.39997558519241921"/>
        <rFont val="Times New Roman"/>
        <family val="1"/>
      </rPr>
      <t xml:space="preserve"> 9</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</si>
  <si>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</si>
  <si>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</si>
  <si>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</si>
  <si>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9</t>
    </r>
  </si>
  <si>
    <t xml:space="preserve">COSTO POR UNIDAD DE PRODUCTO (9) </t>
  </si>
  <si>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</si>
  <si>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</si>
  <si>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</si>
  <si>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9</t>
    </r>
  </si>
  <si>
    <r>
      <t xml:space="preserve">AÑO 1 </t>
    </r>
    <r>
      <rPr>
        <sz val="12"/>
        <color theme="8" tint="0.39997558519241921"/>
        <rFont val="Times New Roman"/>
        <family val="1"/>
      </rPr>
      <t>9</t>
    </r>
  </si>
  <si>
    <r>
      <t>AÑO 2</t>
    </r>
    <r>
      <rPr>
        <sz val="12"/>
        <color theme="8" tint="0.39997558519241921"/>
        <rFont val="Times New Roman"/>
        <family val="1"/>
      </rPr>
      <t xml:space="preserve"> 9</t>
    </r>
  </si>
  <si>
    <r>
      <t xml:space="preserve">AÑO 3 </t>
    </r>
    <r>
      <rPr>
        <sz val="12"/>
        <color theme="8" tint="0.39997558519241921"/>
        <rFont val="Times New Roman"/>
        <family val="1"/>
      </rPr>
      <t>9</t>
    </r>
  </si>
  <si>
    <r>
      <t xml:space="preserve">AÑO 4 </t>
    </r>
    <r>
      <rPr>
        <sz val="12"/>
        <color theme="8" tint="0.39997558519241921"/>
        <rFont val="Times New Roman"/>
        <family val="1"/>
      </rPr>
      <t>9</t>
    </r>
  </si>
  <si>
    <r>
      <t xml:space="preserve">AÑO 5 </t>
    </r>
    <r>
      <rPr>
        <sz val="12"/>
        <color theme="8" tint="0.39997558519241921"/>
        <rFont val="Times New Roman"/>
        <family val="1"/>
      </rPr>
      <t>9</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</si>
  <si>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</si>
  <si>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</si>
  <si>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</si>
  <si>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10</t>
    </r>
  </si>
  <si>
    <r>
      <t>CAMBIO PORCENTUAL EN UNIDADES VENDIDAS</t>
    </r>
    <r>
      <rPr>
        <u/>
        <sz val="12"/>
        <rFont val="Times New Roman"/>
        <family val="1"/>
      </rPr>
      <t xml:space="preserve"> AÑO 4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</si>
  <si>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10</t>
    </r>
  </si>
  <si>
    <r>
      <t>CANTIDADES A UTILIZAR</t>
    </r>
    <r>
      <rPr>
        <u/>
        <sz val="12"/>
        <rFont val="Times New Roman"/>
        <family val="1"/>
      </rPr>
      <t xml:space="preserve"> AÑO 5</t>
    </r>
    <r>
      <rPr>
        <sz val="12"/>
        <rFont val="Times New Roman"/>
        <family val="1"/>
      </rPr>
      <t xml:space="preserve"> </t>
    </r>
    <r>
      <rPr>
        <sz val="12"/>
        <color theme="7" tint="0.39997558519241921"/>
        <rFont val="Times New Roman"/>
        <family val="1"/>
      </rPr>
      <t>10</t>
    </r>
  </si>
  <si>
    <t xml:space="preserve">COSTO POR UNIDAD DE PRODUCTO (10) </t>
  </si>
  <si>
    <r>
      <t xml:space="preserve">COSTO UNITARIO </t>
    </r>
    <r>
      <rPr>
        <u/>
        <sz val="12"/>
        <rFont val="Times New Roman"/>
        <family val="1"/>
      </rPr>
      <t>AÑO 2</t>
    </r>
    <r>
      <rPr>
        <sz val="12"/>
        <color theme="7" tint="0.39997558519241921"/>
        <rFont val="Times New Roman"/>
        <family val="1"/>
      </rPr>
      <t xml:space="preserve"> 10</t>
    </r>
  </si>
  <si>
    <r>
      <t xml:space="preserve">COSTO UNITARIO </t>
    </r>
    <r>
      <rPr>
        <u/>
        <sz val="12"/>
        <rFont val="Times New Roman"/>
        <family val="1"/>
      </rPr>
      <t xml:space="preserve">AÑO 3 </t>
    </r>
    <r>
      <rPr>
        <sz val="12"/>
        <color theme="7" tint="0.39997558519241921"/>
        <rFont val="Times New Roman"/>
        <family val="1"/>
      </rPr>
      <t>10</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</si>
  <si>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</si>
  <si>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10</t>
    </r>
  </si>
  <si>
    <r>
      <t xml:space="preserve">AÑO 1 </t>
    </r>
    <r>
      <rPr>
        <sz val="12"/>
        <color theme="7" tint="0.39997558519241921"/>
        <rFont val="Times New Roman"/>
        <family val="1"/>
      </rPr>
      <t>10</t>
    </r>
  </si>
  <si>
    <r>
      <t xml:space="preserve">AÑO 2 </t>
    </r>
    <r>
      <rPr>
        <sz val="12"/>
        <color theme="7" tint="0.39997558519241921"/>
        <rFont val="Times New Roman"/>
        <family val="1"/>
      </rPr>
      <t>10</t>
    </r>
  </si>
  <si>
    <r>
      <t xml:space="preserve">AÑO 3 </t>
    </r>
    <r>
      <rPr>
        <sz val="12"/>
        <color theme="7" tint="0.39997558519241921"/>
        <rFont val="Times New Roman"/>
        <family val="1"/>
      </rPr>
      <t>10</t>
    </r>
  </si>
  <si>
    <r>
      <t xml:space="preserve">AÑO 4 </t>
    </r>
    <r>
      <rPr>
        <sz val="12"/>
        <color theme="7" tint="0.39997558519241921"/>
        <rFont val="Times New Roman"/>
        <family val="1"/>
      </rPr>
      <t>10</t>
    </r>
  </si>
  <si>
    <r>
      <t>AÑO 5</t>
    </r>
    <r>
      <rPr>
        <sz val="12"/>
        <color theme="7" tint="0.39997558519241921"/>
        <rFont val="Times New Roman"/>
        <family val="1"/>
      </rPr>
      <t xml:space="preserve"> 10</t>
    </r>
  </si>
  <si>
    <r>
      <t xml:space="preserve">AÑO 1 </t>
    </r>
    <r>
      <rPr>
        <sz val="12"/>
        <color theme="6" tint="0.39997558519241921"/>
        <rFont val="Times New Roman"/>
        <family val="1"/>
      </rPr>
      <t>11</t>
    </r>
  </si>
  <si>
    <r>
      <t xml:space="preserve">AÑO 2 </t>
    </r>
    <r>
      <rPr>
        <sz val="12"/>
        <color theme="6" tint="0.39997558519241921"/>
        <rFont val="Times New Roman"/>
        <family val="1"/>
      </rPr>
      <t>11</t>
    </r>
  </si>
  <si>
    <r>
      <t xml:space="preserve">AÑO 3 </t>
    </r>
    <r>
      <rPr>
        <sz val="12"/>
        <color theme="6" tint="0.39997558519241921"/>
        <rFont val="Times New Roman"/>
        <family val="1"/>
      </rPr>
      <t>11</t>
    </r>
  </si>
  <si>
    <r>
      <t xml:space="preserve">AÑO 4 </t>
    </r>
    <r>
      <rPr>
        <b/>
        <sz val="12"/>
        <color theme="6" tint="0.39997558519241921"/>
        <rFont val="Times New Roman"/>
        <family val="1"/>
      </rPr>
      <t xml:space="preserve">11 </t>
    </r>
  </si>
  <si>
    <r>
      <t xml:space="preserve">AÑO 5 </t>
    </r>
    <r>
      <rPr>
        <sz val="12"/>
        <color theme="6" tint="0.39997558519241921"/>
        <rFont val="Times New Roman"/>
        <family val="1"/>
      </rPr>
      <t>11</t>
    </r>
  </si>
  <si>
    <t>COSTO INDIRECTO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</si>
  <si>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</si>
  <si>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</si>
  <si>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</si>
  <si>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</si>
  <si>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</si>
  <si>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 xml:space="preserve">1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</si>
  <si>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</si>
  <si>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</si>
  <si>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</si>
  <si>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</si>
  <si>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</si>
  <si>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</si>
  <si>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AÑO 2 </t>
    </r>
    <r>
      <rPr>
        <sz val="12"/>
        <color theme="8" tint="0.39997558519241921"/>
        <rFont val="Times New Roman"/>
        <family val="1"/>
      </rPr>
      <t xml:space="preserve">1 </t>
    </r>
  </si>
  <si>
    <r>
      <t xml:space="preserve">AÑO 3 </t>
    </r>
    <r>
      <rPr>
        <sz val="12"/>
        <color theme="8" tint="0.39997558519241921"/>
        <rFont val="Times New Roman"/>
        <family val="1"/>
      </rPr>
      <t>1</t>
    </r>
    <r>
      <rPr>
        <sz val="12"/>
        <rFont val="Times New Roman"/>
        <family val="1"/>
      </rPr>
      <t xml:space="preserve"> </t>
    </r>
  </si>
  <si>
    <r>
      <t xml:space="preserve">AÑO 4 </t>
    </r>
    <r>
      <rPr>
        <sz val="12"/>
        <color theme="8" tint="0.39997558519241921"/>
        <rFont val="Times New Roman"/>
        <family val="1"/>
      </rPr>
      <t xml:space="preserve">1 </t>
    </r>
  </si>
  <si>
    <r>
      <t xml:space="preserve">AÑO 5 </t>
    </r>
    <r>
      <rPr>
        <sz val="12"/>
        <color theme="8" tint="0.39997558519241921"/>
        <rFont val="Times New Roman"/>
        <family val="1"/>
      </rPr>
      <t xml:space="preserve">1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</si>
  <si>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 xml:space="preserve">2 </t>
    </r>
  </si>
  <si>
    <r>
      <t xml:space="preserve">CAMBIO PORCENTUAL EN UNIDADES VENDIDAS </t>
    </r>
    <r>
      <rPr>
        <u/>
        <sz val="12"/>
        <rFont val="Times New Roman"/>
        <family val="1"/>
      </rPr>
      <t>AÑO 2</t>
    </r>
    <r>
      <rPr>
        <sz val="12"/>
        <color theme="7" tint="0.39997558519241921"/>
        <rFont val="Times New Roman"/>
        <family val="1"/>
      </rPr>
      <t xml:space="preserve"> 2</t>
    </r>
    <r>
      <rPr>
        <sz val="12"/>
        <rFont val="Times New Roman"/>
        <family val="1"/>
      </rPr>
      <t xml:space="preserve">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</si>
  <si>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</si>
  <si>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</si>
  <si>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</si>
  <si>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</si>
  <si>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</si>
  <si>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</si>
  <si>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</si>
  <si>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AÑO 1 </t>
    </r>
    <r>
      <rPr>
        <sz val="12"/>
        <color theme="7" tint="0.39997558519241921"/>
        <rFont val="Times New Roman"/>
        <family val="1"/>
      </rPr>
      <t>2</t>
    </r>
  </si>
  <si>
    <r>
      <t xml:space="preserve">AÑO 2 </t>
    </r>
    <r>
      <rPr>
        <sz val="12"/>
        <color theme="7" tint="0.39997558519241921"/>
        <rFont val="Times New Roman"/>
        <family val="1"/>
      </rPr>
      <t xml:space="preserve">2 </t>
    </r>
  </si>
  <si>
    <r>
      <t xml:space="preserve">AÑO 3 </t>
    </r>
    <r>
      <rPr>
        <sz val="12"/>
        <color theme="7" tint="0.39997558519241921"/>
        <rFont val="Times New Roman"/>
        <family val="1"/>
      </rPr>
      <t>2</t>
    </r>
    <r>
      <rPr>
        <sz val="12"/>
        <rFont val="Times New Roman"/>
        <family val="1"/>
      </rPr>
      <t xml:space="preserve"> </t>
    </r>
  </si>
  <si>
    <r>
      <t xml:space="preserve">AÑO 4 </t>
    </r>
    <r>
      <rPr>
        <sz val="12"/>
        <color theme="7" tint="0.39997558519241921"/>
        <rFont val="Times New Roman"/>
        <family val="1"/>
      </rPr>
      <t>2</t>
    </r>
    <r>
      <rPr>
        <sz val="12"/>
        <rFont val="Times New Roman"/>
        <family val="1"/>
      </rPr>
      <t xml:space="preserve"> </t>
    </r>
  </si>
  <si>
    <r>
      <t xml:space="preserve">AÑO 5 </t>
    </r>
    <r>
      <rPr>
        <sz val="12"/>
        <color theme="7" tint="0.39997558519241921"/>
        <rFont val="Times New Roman"/>
        <family val="1"/>
      </rPr>
      <t xml:space="preserve">2 </t>
    </r>
  </si>
  <si>
    <r>
      <t xml:space="preserve">CANTIDADES A UTILIZAR EN EL </t>
    </r>
    <r>
      <rPr>
        <u/>
        <sz val="12"/>
        <rFont val="Times New Roman"/>
        <family val="1"/>
      </rPr>
      <t xml:space="preserve">AÑO </t>
    </r>
    <r>
      <rPr>
        <sz val="12"/>
        <rFont val="Times New Roman"/>
        <family val="1"/>
      </rPr>
      <t xml:space="preserve">1 </t>
    </r>
    <r>
      <rPr>
        <sz val="12"/>
        <color theme="8" tint="0.39997558519241921"/>
        <rFont val="Times New Roman"/>
        <family val="1"/>
      </rPr>
      <t>3</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</si>
  <si>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</si>
  <si>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</si>
  <si>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</si>
  <si>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</si>
  <si>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 xml:space="preserve">3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</si>
  <si>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</si>
  <si>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 xml:space="preserve">3 </t>
    </r>
  </si>
  <si>
    <r>
      <t xml:space="preserve">AÑO 1 </t>
    </r>
    <r>
      <rPr>
        <sz val="12"/>
        <color theme="8" tint="0.39997558519241921"/>
        <rFont val="Times New Roman"/>
        <family val="1"/>
      </rPr>
      <t>3</t>
    </r>
  </si>
  <si>
    <r>
      <t xml:space="preserve">AÑO 2 </t>
    </r>
    <r>
      <rPr>
        <sz val="12"/>
        <color theme="8" tint="0.39997558519241921"/>
        <rFont val="Times New Roman"/>
        <family val="1"/>
      </rPr>
      <t>3</t>
    </r>
  </si>
  <si>
    <r>
      <t xml:space="preserve">AÑO 3 </t>
    </r>
    <r>
      <rPr>
        <sz val="12"/>
        <color theme="8" tint="0.39997558519241921"/>
        <rFont val="Times New Roman"/>
        <family val="1"/>
      </rPr>
      <t>3</t>
    </r>
    <r>
      <rPr>
        <sz val="12"/>
        <rFont val="Times New Roman"/>
        <family val="1"/>
      </rPr>
      <t xml:space="preserve"> </t>
    </r>
  </si>
  <si>
    <r>
      <t xml:space="preserve">AÑO 4 </t>
    </r>
    <r>
      <rPr>
        <sz val="12"/>
        <color theme="8" tint="0.39997558519241921"/>
        <rFont val="Times New Roman"/>
        <family val="1"/>
      </rPr>
      <t xml:space="preserve">3 </t>
    </r>
  </si>
  <si>
    <r>
      <t xml:space="preserve">AÑO 5 </t>
    </r>
    <r>
      <rPr>
        <sz val="12"/>
        <color theme="8" tint="0.39997558519241921"/>
        <rFont val="Times New Roman"/>
        <family val="1"/>
      </rPr>
      <t>3</t>
    </r>
    <r>
      <rPr>
        <sz val="12"/>
        <rFont val="Times New Roman"/>
        <family val="1"/>
      </rPr>
      <t xml:space="preserve"> </t>
    </r>
  </si>
  <si>
    <r>
      <t>UNIDADES PRODUCIDAS</t>
    </r>
    <r>
      <rPr>
        <u/>
        <sz val="12"/>
        <rFont val="Times New Roman"/>
        <family val="1"/>
      </rPr>
      <t xml:space="preserve"> 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</si>
  <si>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color theme="7" tint="0.39997558519241921"/>
        <rFont val="Times New Roman"/>
        <family val="1"/>
      </rPr>
      <t xml:space="preserve"> 4</t>
    </r>
  </si>
  <si>
    <r>
      <t xml:space="preserve">CANTIDADES A UTILIZAR EN EL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</si>
  <si>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CAMBIO PORCENTUAL EN UNIDADES VENDIDAS </t>
    </r>
    <r>
      <rPr>
        <u/>
        <sz val="12"/>
        <rFont val="Times New Roman"/>
        <family val="1"/>
      </rPr>
      <t>AÑO 4</t>
    </r>
    <r>
      <rPr>
        <sz val="12"/>
        <color theme="7" tint="0.39997558519241921"/>
        <rFont val="Times New Roman"/>
        <family val="1"/>
      </rPr>
      <t xml:space="preserve"> 4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</si>
  <si>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</si>
  <si>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CAMBIO PORCENTUAL EN UNIDADES VENDIDAS </t>
    </r>
    <r>
      <rPr>
        <u/>
        <sz val="12"/>
        <rFont val="Times New Roman"/>
        <family val="1"/>
      </rPr>
      <t>AÑO 5</t>
    </r>
    <r>
      <rPr>
        <sz val="12"/>
        <color theme="7" tint="0.39997558519241921"/>
        <rFont val="Times New Roman"/>
        <family val="1"/>
      </rPr>
      <t xml:space="preserve"> 4</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</si>
  <si>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</si>
  <si>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</si>
  <si>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</si>
  <si>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</si>
  <si>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</si>
  <si>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AÑO 1 </t>
    </r>
    <r>
      <rPr>
        <sz val="12"/>
        <color theme="7" tint="0.39997558519241921"/>
        <rFont val="Times New Roman"/>
        <family val="1"/>
      </rPr>
      <t>4</t>
    </r>
    <r>
      <rPr>
        <sz val="12"/>
        <rFont val="Times New Roman"/>
        <family val="1"/>
      </rPr>
      <t xml:space="preserve"> </t>
    </r>
  </si>
  <si>
    <r>
      <t xml:space="preserve">AÑO 2 </t>
    </r>
    <r>
      <rPr>
        <sz val="12"/>
        <color theme="7" tint="0.39997558519241921"/>
        <rFont val="Times New Roman"/>
        <family val="1"/>
      </rPr>
      <t>4</t>
    </r>
    <r>
      <rPr>
        <sz val="12"/>
        <rFont val="Times New Roman"/>
        <family val="1"/>
      </rPr>
      <t xml:space="preserve"> </t>
    </r>
  </si>
  <si>
    <r>
      <t xml:space="preserve">AÑO 3 </t>
    </r>
    <r>
      <rPr>
        <sz val="12"/>
        <color theme="7" tint="0.39997558519241921"/>
        <rFont val="Times New Roman"/>
        <family val="1"/>
      </rPr>
      <t>4</t>
    </r>
    <r>
      <rPr>
        <sz val="12"/>
        <rFont val="Times New Roman"/>
        <family val="1"/>
      </rPr>
      <t xml:space="preserve"> </t>
    </r>
  </si>
  <si>
    <r>
      <t xml:space="preserve">AÑO 5 </t>
    </r>
    <r>
      <rPr>
        <sz val="12"/>
        <color theme="7" tint="0.39997558519241921"/>
        <rFont val="Times New Roman"/>
        <family val="1"/>
      </rPr>
      <t xml:space="preserve">4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</si>
  <si>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5 </t>
    </r>
  </si>
  <si>
    <r>
      <t xml:space="preserve">CAMBIO PORCENTUAL EN UNIDADES VENDIDAS </t>
    </r>
    <r>
      <rPr>
        <u/>
        <sz val="12"/>
        <rFont val="Times New Roman"/>
        <family val="1"/>
      </rPr>
      <t xml:space="preserve">AÑO </t>
    </r>
    <r>
      <rPr>
        <sz val="12"/>
        <rFont val="Times New Roman"/>
        <family val="1"/>
      </rPr>
      <t>3</t>
    </r>
    <r>
      <rPr>
        <sz val="12"/>
        <color theme="8" tint="0.39997558519241921"/>
        <rFont val="Times New Roman"/>
        <family val="1"/>
      </rPr>
      <t xml:space="preserve"> 5</t>
    </r>
    <r>
      <rPr>
        <sz val="12"/>
        <rFont val="Times New Roman"/>
        <family val="1"/>
      </rPr>
      <t xml:space="preserve">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</si>
  <si>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</si>
  <si>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</si>
  <si>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5</t>
    </r>
    <r>
      <rPr>
        <sz val="12"/>
        <rFont val="Times New Roman"/>
        <family val="1"/>
      </rPr>
      <t xml:space="preserve"> </t>
    </r>
  </si>
  <si>
    <r>
      <t xml:space="preserve">CANTIDADES A UTILIZAR </t>
    </r>
    <r>
      <rPr>
        <u/>
        <sz val="12"/>
        <rFont val="Times New Roman"/>
        <family val="1"/>
      </rPr>
      <t xml:space="preserve">AÑO </t>
    </r>
    <r>
      <rPr>
        <sz val="12"/>
        <rFont val="Times New Roman"/>
        <family val="1"/>
      </rPr>
      <t>5</t>
    </r>
    <r>
      <rPr>
        <sz val="12"/>
        <color theme="8" tint="0.39997558519241921"/>
        <rFont val="Times New Roman"/>
        <family val="1"/>
      </rPr>
      <t xml:space="preserve"> 5</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</si>
  <si>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</si>
  <si>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</si>
  <si>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</si>
  <si>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</si>
  <si>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AÑO 3 </t>
    </r>
    <r>
      <rPr>
        <sz val="12"/>
        <color theme="8" tint="0.39997558519241921"/>
        <rFont val="Times New Roman"/>
        <family val="1"/>
      </rPr>
      <t>5</t>
    </r>
  </si>
  <si>
    <r>
      <t xml:space="preserve">AÑO 5 </t>
    </r>
    <r>
      <rPr>
        <sz val="12"/>
        <color theme="8" tint="0.39997558519241921"/>
        <rFont val="Times New Roman"/>
        <family val="1"/>
      </rPr>
      <t>5</t>
    </r>
  </si>
  <si>
    <r>
      <t xml:space="preserve">CANTIDADES A UTILIZAR EN EL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</si>
  <si>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3</t>
    </r>
    <r>
      <rPr>
        <sz val="12"/>
        <color theme="7" tint="0.39997558519241921"/>
        <rFont val="Times New Roman"/>
        <family val="1"/>
      </rPr>
      <t xml:space="preserve"> 6</t>
    </r>
  </si>
  <si>
    <r>
      <t xml:space="preserve">CANTIDADES A UTILIZAR </t>
    </r>
    <r>
      <rPr>
        <u/>
        <sz val="12"/>
        <rFont val="Times New Roman"/>
        <family val="1"/>
      </rPr>
      <t>AÑO 5</t>
    </r>
    <r>
      <rPr>
        <sz val="12"/>
        <color theme="7" tint="0.39997558519241921"/>
        <rFont val="Times New Roman"/>
        <family val="1"/>
      </rPr>
      <t xml:space="preserve"> 6</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</si>
  <si>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</si>
  <si>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4</t>
    </r>
    <r>
      <rPr>
        <sz val="12"/>
        <color theme="7" tint="0.39997558519241921"/>
        <rFont val="Times New Roman"/>
        <family val="1"/>
      </rPr>
      <t xml:space="preserve"> 6</t>
    </r>
  </si>
  <si>
    <r>
      <t>AÑO 1</t>
    </r>
    <r>
      <rPr>
        <sz val="12"/>
        <color theme="7" tint="0.39997558519241921"/>
        <rFont val="Times New Roman"/>
        <family val="1"/>
      </rPr>
      <t xml:space="preserve"> 6</t>
    </r>
  </si>
  <si>
    <r>
      <t>AÑO 3</t>
    </r>
    <r>
      <rPr>
        <sz val="12"/>
        <color theme="7" tint="0.39997558519241921"/>
        <rFont val="Times New Roman"/>
        <family val="1"/>
      </rPr>
      <t xml:space="preserve"> 6</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</si>
  <si>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</si>
  <si>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</si>
  <si>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</si>
  <si>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</si>
  <si>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4</t>
    </r>
    <r>
      <rPr>
        <sz val="12"/>
        <color theme="8" tint="0.39997558519241921"/>
        <rFont val="Times New Roman"/>
        <family val="1"/>
      </rPr>
      <t xml:space="preserve"> 7</t>
    </r>
  </si>
  <si>
    <r>
      <t>AÑO 1</t>
    </r>
    <r>
      <rPr>
        <sz val="12"/>
        <color theme="8" tint="0.39997558519241921"/>
        <rFont val="Times New Roman"/>
        <family val="1"/>
      </rPr>
      <t xml:space="preserve"> 7</t>
    </r>
  </si>
  <si>
    <r>
      <t xml:space="preserve">AÑO 2 </t>
    </r>
    <r>
      <rPr>
        <sz val="12"/>
        <color theme="8" tint="0.39997558519241921"/>
        <rFont val="Times New Roman"/>
        <family val="1"/>
      </rPr>
      <t>7</t>
    </r>
  </si>
  <si>
    <r>
      <t xml:space="preserve">AÑO 5 </t>
    </r>
    <r>
      <rPr>
        <sz val="12"/>
        <color theme="8" tint="0.39997558519241921"/>
        <rFont val="Times New Roman"/>
        <family val="1"/>
      </rPr>
      <t>7</t>
    </r>
  </si>
  <si>
    <r>
      <t xml:space="preserve">CANTIDADES A UTILIZAR EN EL </t>
    </r>
    <r>
      <rPr>
        <u/>
        <sz val="12"/>
        <rFont val="Times New Roman"/>
        <family val="1"/>
      </rPr>
      <t>AÑO 1</t>
    </r>
    <r>
      <rPr>
        <sz val="12"/>
        <color theme="7" tint="0.39997558519241921"/>
        <rFont val="Times New Roman"/>
        <family val="1"/>
      </rPr>
      <t xml:space="preserve"> 8</t>
    </r>
  </si>
  <si>
    <r>
      <t xml:space="preserve">CAMBIO PORCENTUAL EN UNIDADES VENDIDAS </t>
    </r>
    <r>
      <rPr>
        <u/>
        <sz val="12"/>
        <rFont val="Times New Roman"/>
        <family val="1"/>
      </rPr>
      <t xml:space="preserve">AÑO </t>
    </r>
    <r>
      <rPr>
        <sz val="12"/>
        <rFont val="Times New Roman"/>
        <family val="1"/>
      </rPr>
      <t xml:space="preserve">2 </t>
    </r>
    <r>
      <rPr>
        <sz val="12"/>
        <color theme="7" tint="0.39997558519241921"/>
        <rFont val="Times New Roman"/>
        <family val="1"/>
      </rPr>
      <t>8</t>
    </r>
  </si>
  <si>
    <r>
      <t xml:space="preserve">CAMBIO PORCENTUAL EN UNIDADES VENDIDAS </t>
    </r>
    <r>
      <rPr>
        <u/>
        <sz val="12"/>
        <rFont val="Times New Roman"/>
        <family val="1"/>
      </rPr>
      <t>AÑO 3</t>
    </r>
    <r>
      <rPr>
        <sz val="12"/>
        <color theme="7" tint="0.39997558519241921"/>
        <rFont val="Times New Roman"/>
        <family val="1"/>
      </rPr>
      <t xml:space="preserve"> 8</t>
    </r>
  </si>
  <si>
    <r>
      <t>CAMBIO PORCENTUAL EN UNIDADES VENDIDAS</t>
    </r>
    <r>
      <rPr>
        <u/>
        <sz val="12"/>
        <rFont val="Times New Roman"/>
        <family val="1"/>
      </rPr>
      <t xml:space="preserve"> AÑO 5 </t>
    </r>
    <r>
      <rPr>
        <sz val="12"/>
        <color theme="7" tint="0.39997558519241921"/>
        <rFont val="Times New Roman"/>
        <family val="1"/>
      </rPr>
      <t>8</t>
    </r>
  </si>
  <si>
    <r>
      <t xml:space="preserve">AÑO 1 </t>
    </r>
    <r>
      <rPr>
        <sz val="12"/>
        <color theme="7" tint="0.39997558519241921"/>
        <rFont val="Times New Roman"/>
        <family val="1"/>
      </rPr>
      <t>8</t>
    </r>
  </si>
  <si>
    <r>
      <t>AÑO 5</t>
    </r>
    <r>
      <rPr>
        <sz val="12"/>
        <color theme="7" tint="0.39997558519241921"/>
        <rFont val="Times New Roman"/>
        <family val="1"/>
      </rPr>
      <t xml:space="preserve"> 8</t>
    </r>
  </si>
  <si>
    <r>
      <t xml:space="preserve">CAMBIO PORCENTUAL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</si>
  <si>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 xml:space="preserve">9 </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</si>
  <si>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</si>
  <si>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3</t>
    </r>
    <r>
      <rPr>
        <sz val="12"/>
        <color theme="8" tint="0.39997558519241921"/>
        <rFont val="Times New Roman"/>
        <family val="1"/>
      </rPr>
      <t xml:space="preserve"> 9 </t>
    </r>
  </si>
  <si>
    <r>
      <t xml:space="preserve">CANTIDADES A UTILIZAR </t>
    </r>
    <r>
      <rPr>
        <u/>
        <sz val="12"/>
        <rFont val="Times New Roman"/>
        <family val="1"/>
      </rPr>
      <t>AÑO 5</t>
    </r>
    <r>
      <rPr>
        <sz val="12"/>
        <color theme="8" tint="0.39997558519241921"/>
        <rFont val="Times New Roman"/>
        <family val="1"/>
      </rPr>
      <t xml:space="preserve"> 9</t>
    </r>
  </si>
  <si>
    <r>
      <t xml:space="preserve">COSTO UNITARIO </t>
    </r>
    <r>
      <rPr>
        <u/>
        <sz val="12"/>
        <rFont val="Times New Roman"/>
        <family val="1"/>
      </rPr>
      <t>AÑO 2</t>
    </r>
    <r>
      <rPr>
        <sz val="12"/>
        <color theme="8" tint="0.39997558519241921"/>
        <rFont val="Times New Roman"/>
        <family val="1"/>
      </rPr>
      <t xml:space="preserve"> 9</t>
    </r>
  </si>
  <si>
    <r>
      <t xml:space="preserve">COSTO UNITARIO </t>
    </r>
    <r>
      <rPr>
        <u/>
        <sz val="12"/>
        <rFont val="Times New Roman"/>
        <family val="1"/>
      </rPr>
      <t xml:space="preserve">AÑO 3 </t>
    </r>
    <r>
      <rPr>
        <sz val="12"/>
        <color theme="8" tint="0.39997558519241921"/>
        <rFont val="Times New Roman"/>
        <family val="1"/>
      </rPr>
      <t>9</t>
    </r>
  </si>
  <si>
    <r>
      <t xml:space="preserve">COSTO UNITARIO </t>
    </r>
    <r>
      <rPr>
        <u/>
        <sz val="12"/>
        <rFont val="Times New Roman"/>
        <family val="1"/>
      </rPr>
      <t>AÑO 4</t>
    </r>
    <r>
      <rPr>
        <sz val="12"/>
        <color theme="8" tint="0.39997558519241921"/>
        <rFont val="Times New Roman"/>
        <family val="1"/>
      </rPr>
      <t xml:space="preserve"> 9</t>
    </r>
  </si>
  <si>
    <r>
      <t xml:space="preserve">AÑO 1 </t>
    </r>
    <r>
      <rPr>
        <sz val="12"/>
        <color theme="8" tint="0.39997558519241921"/>
        <rFont val="Times New Roman"/>
        <family val="1"/>
      </rPr>
      <t>9</t>
    </r>
    <r>
      <rPr>
        <sz val="12"/>
        <rFont val="Times New Roman"/>
        <family val="1"/>
      </rPr>
      <t xml:space="preserve"> </t>
    </r>
  </si>
  <si>
    <r>
      <t xml:space="preserve">AÑO 2 </t>
    </r>
    <r>
      <rPr>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</si>
  <si>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</si>
  <si>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</si>
  <si>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</si>
  <si>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 xml:space="preserve">AÑO 4 </t>
    </r>
    <r>
      <rPr>
        <sz val="12"/>
        <color theme="7" tint="0.39997558519241921"/>
        <rFont val="Times New Roman"/>
        <family val="1"/>
      </rPr>
      <t xml:space="preserve">10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</si>
  <si>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</si>
  <si>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</si>
  <si>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</si>
  <si>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2</t>
    </r>
    <r>
      <rPr>
        <sz val="12"/>
        <color theme="7" tint="0.39997558519241921"/>
        <rFont val="Times New Roman"/>
        <family val="1"/>
      </rPr>
      <t xml:space="preserve"> 10 </t>
    </r>
  </si>
  <si>
    <r>
      <t>COSTO UNITARIO</t>
    </r>
    <r>
      <rPr>
        <u/>
        <sz val="12"/>
        <rFont val="Times New Roman"/>
        <family val="1"/>
      </rPr>
      <t xml:space="preserve"> AÑO 3</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</si>
  <si>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</si>
  <si>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AÑO 1 </t>
    </r>
    <r>
      <rPr>
        <sz val="12"/>
        <color theme="7" tint="0.39997558519241921"/>
        <rFont val="Times New Roman"/>
        <family val="1"/>
      </rPr>
      <t xml:space="preserve">10 </t>
    </r>
  </si>
  <si>
    <r>
      <t xml:space="preserve">AÑO 2 </t>
    </r>
    <r>
      <rPr>
        <sz val="12"/>
        <color theme="7" tint="0.39997558519241921"/>
        <rFont val="Times New Roman"/>
        <family val="1"/>
      </rPr>
      <t xml:space="preserve">10 </t>
    </r>
  </si>
  <si>
    <r>
      <t xml:space="preserve">AÑO 3 </t>
    </r>
    <r>
      <rPr>
        <sz val="12"/>
        <color theme="7" tint="0.39997558519241921"/>
        <rFont val="Times New Roman"/>
        <family val="1"/>
      </rPr>
      <t xml:space="preserve">10 </t>
    </r>
  </si>
  <si>
    <r>
      <t xml:space="preserve">AÑO 4 </t>
    </r>
    <r>
      <rPr>
        <sz val="12"/>
        <color theme="7" tint="0.39997558519241921"/>
        <rFont val="Times New Roman"/>
        <family val="1"/>
      </rPr>
      <t xml:space="preserve">10 </t>
    </r>
  </si>
  <si>
    <r>
      <t xml:space="preserve">AÑO 5 </t>
    </r>
    <r>
      <rPr>
        <sz val="12"/>
        <color theme="7" tint="0.39997558519241921"/>
        <rFont val="Times New Roman"/>
        <family val="1"/>
      </rPr>
      <t xml:space="preserve">10 </t>
    </r>
  </si>
  <si>
    <r>
      <t xml:space="preserve">AÑO 1 </t>
    </r>
    <r>
      <rPr>
        <b/>
        <sz val="12"/>
        <color theme="6" tint="0.39997558519241921"/>
        <rFont val="Times New Roman"/>
        <family val="1"/>
      </rPr>
      <t>11</t>
    </r>
  </si>
  <si>
    <r>
      <t>AÑO 2</t>
    </r>
    <r>
      <rPr>
        <b/>
        <sz val="12"/>
        <color theme="6" tint="0.39997558519241921"/>
        <rFont val="Times New Roman"/>
        <family val="1"/>
      </rPr>
      <t xml:space="preserve"> 11</t>
    </r>
  </si>
  <si>
    <r>
      <t xml:space="preserve">AÑO 3 </t>
    </r>
    <r>
      <rPr>
        <b/>
        <sz val="12"/>
        <color theme="6" tint="0.39997558519241921"/>
        <rFont val="Times New Roman"/>
        <family val="1"/>
      </rPr>
      <t>11</t>
    </r>
  </si>
  <si>
    <r>
      <t xml:space="preserve">AÑO 5 </t>
    </r>
    <r>
      <rPr>
        <b/>
        <sz val="12"/>
        <color theme="6" tint="0.39997558519241921"/>
        <rFont val="Times New Roman"/>
        <family val="1"/>
      </rPr>
      <t xml:space="preserve">11 </t>
    </r>
  </si>
  <si>
    <t xml:space="preserve">AÑO 1 </t>
  </si>
  <si>
    <t xml:space="preserve">AÑO 2 </t>
  </si>
  <si>
    <t xml:space="preserve">TOTAL MATERIA PRIMA E INSUMOS </t>
  </si>
  <si>
    <t xml:space="preserve">TOTAL MANO DE OBRA </t>
  </si>
  <si>
    <t>TOTAL COSTOS INDIRECTOS</t>
  </si>
  <si>
    <t xml:space="preserve">TOTAL COSTOS DE PRODUCCIÓN </t>
  </si>
  <si>
    <t xml:space="preserve">COSTOS UNITARIOS VARIABLES </t>
  </si>
  <si>
    <t xml:space="preserve">TOTAL </t>
  </si>
  <si>
    <t xml:space="preserve">MANO DE OBRA </t>
  </si>
  <si>
    <t xml:space="preserve">COSTOS INDIRECTOS DE FABRICACIÓN </t>
  </si>
  <si>
    <r>
      <t xml:space="preserve">AÑO 1 </t>
    </r>
    <r>
      <rPr>
        <sz val="12"/>
        <color rgb="FF007D8A"/>
        <rFont val="Times New Roman"/>
        <family val="1"/>
      </rPr>
      <t>2</t>
    </r>
  </si>
  <si>
    <r>
      <t xml:space="preserve">AÑO 2 </t>
    </r>
    <r>
      <rPr>
        <sz val="12"/>
        <color rgb="FF007D8A"/>
        <rFont val="Times New Roman"/>
        <family val="1"/>
      </rPr>
      <t>2</t>
    </r>
  </si>
  <si>
    <r>
      <t xml:space="preserve">AÑO 3 </t>
    </r>
    <r>
      <rPr>
        <sz val="12"/>
        <color rgb="FF007D8A"/>
        <rFont val="Times New Roman"/>
        <family val="1"/>
      </rPr>
      <t>2</t>
    </r>
  </si>
  <si>
    <r>
      <t xml:space="preserve">AÑO 4 </t>
    </r>
    <r>
      <rPr>
        <sz val="12"/>
        <color rgb="FF007D8A"/>
        <rFont val="Times New Roman"/>
        <family val="1"/>
      </rPr>
      <t>2</t>
    </r>
  </si>
  <si>
    <r>
      <t xml:space="preserve">AÑO 5 </t>
    </r>
    <r>
      <rPr>
        <sz val="12"/>
        <color rgb="FF007D8A"/>
        <rFont val="Times New Roman"/>
        <family val="1"/>
      </rPr>
      <t>2</t>
    </r>
  </si>
  <si>
    <r>
      <t xml:space="preserve">AÑO 1 </t>
    </r>
    <r>
      <rPr>
        <sz val="12"/>
        <color rgb="FF007D8A"/>
        <rFont val="Times New Roman"/>
        <family val="1"/>
      </rPr>
      <t>3</t>
    </r>
  </si>
  <si>
    <r>
      <t xml:space="preserve">AÑO 2 </t>
    </r>
    <r>
      <rPr>
        <sz val="12"/>
        <color rgb="FF007D8A"/>
        <rFont val="Times New Roman"/>
        <family val="1"/>
      </rPr>
      <t>3</t>
    </r>
  </si>
  <si>
    <r>
      <t>AÑO 3</t>
    </r>
    <r>
      <rPr>
        <sz val="12"/>
        <color rgb="FF007D8A"/>
        <rFont val="Times New Roman"/>
        <family val="1"/>
      </rPr>
      <t xml:space="preserve"> 3</t>
    </r>
  </si>
  <si>
    <r>
      <t xml:space="preserve">AÑO 4 </t>
    </r>
    <r>
      <rPr>
        <sz val="12"/>
        <color rgb="FF007D8A"/>
        <rFont val="Times New Roman"/>
        <family val="1"/>
      </rPr>
      <t>3</t>
    </r>
    <r>
      <rPr>
        <sz val="12"/>
        <color theme="0"/>
        <rFont val="Times New Roman"/>
        <family val="1"/>
      </rPr>
      <t xml:space="preserve"> </t>
    </r>
  </si>
  <si>
    <r>
      <t xml:space="preserve">AÑO 5 </t>
    </r>
    <r>
      <rPr>
        <sz val="12"/>
        <color rgb="FF007D8A"/>
        <rFont val="Times New Roman"/>
        <family val="1"/>
      </rPr>
      <t>3</t>
    </r>
  </si>
  <si>
    <r>
      <t>AÑO 1</t>
    </r>
    <r>
      <rPr>
        <sz val="12"/>
        <color rgb="FF007D8A"/>
        <rFont val="Times New Roman"/>
        <family val="1"/>
      </rPr>
      <t xml:space="preserve"> 4</t>
    </r>
  </si>
  <si>
    <r>
      <t xml:space="preserve">AÑO 2 </t>
    </r>
    <r>
      <rPr>
        <sz val="12"/>
        <color rgb="FF007D8A"/>
        <rFont val="Times New Roman"/>
        <family val="1"/>
      </rPr>
      <t>4</t>
    </r>
  </si>
  <si>
    <r>
      <t xml:space="preserve">AÑO 3 </t>
    </r>
    <r>
      <rPr>
        <sz val="12"/>
        <color rgb="FF007D8A"/>
        <rFont val="Times New Roman"/>
        <family val="1"/>
      </rPr>
      <t>4</t>
    </r>
  </si>
  <si>
    <r>
      <t xml:space="preserve">AÑO 4 </t>
    </r>
    <r>
      <rPr>
        <sz val="12"/>
        <color rgb="FF007D8A"/>
        <rFont val="Times New Roman"/>
        <family val="1"/>
      </rPr>
      <t xml:space="preserve">4 </t>
    </r>
  </si>
  <si>
    <r>
      <t xml:space="preserve">AÑO 5 </t>
    </r>
    <r>
      <rPr>
        <sz val="12"/>
        <color rgb="FF007D8A"/>
        <rFont val="Times New Roman"/>
        <family val="1"/>
      </rPr>
      <t>4</t>
    </r>
  </si>
  <si>
    <t xml:space="preserve">INGRESOS POR LÍNEA DE PRODUCTOS O SERVICIOS E INGRESO VS  COSTO TOTALES CONSOLIDADOS </t>
  </si>
  <si>
    <t xml:space="preserve">CÓDIGO </t>
  </si>
  <si>
    <t xml:space="preserve">Producto y/o servicio </t>
  </si>
  <si>
    <t xml:space="preserve">Precio de venta año 1 </t>
  </si>
  <si>
    <t>Ingresos totales año 1</t>
  </si>
  <si>
    <t xml:space="preserve">Precio de venta año 2 </t>
  </si>
  <si>
    <t xml:space="preserve">Ingresos totales año 2 </t>
  </si>
  <si>
    <t xml:space="preserve">Precio de venta año 3 </t>
  </si>
  <si>
    <t xml:space="preserve">Ingresos totales año 3 </t>
  </si>
  <si>
    <t xml:space="preserve">Precio de venta año 4 </t>
  </si>
  <si>
    <t>Ingresos totales año 4</t>
  </si>
  <si>
    <t>Precio de venta año 5</t>
  </si>
  <si>
    <t>Ingresos totales año 5</t>
  </si>
  <si>
    <t>TOTAL COSTOS ANUALES</t>
  </si>
  <si>
    <t>MARGEN DE CONTRIBUCIÓN TOTAL</t>
  </si>
  <si>
    <t>PRECIO DE VENTA UNITARIOS VS COSTOS DE POBLACIÓN  UNITARIO POR LÍNEA DE PRODUCCIÓN</t>
  </si>
  <si>
    <t>Precio de venta unitario año 1</t>
  </si>
  <si>
    <t>(-) Costo de producción unitario año 1</t>
  </si>
  <si>
    <t>Margen de contribución unitario año 1</t>
  </si>
  <si>
    <t>Precio de venta unitario año 2</t>
  </si>
  <si>
    <t>(-) Costo de producción unitario año 2</t>
  </si>
  <si>
    <t>Margen de contribución unitario año 2</t>
  </si>
  <si>
    <t>Precio de venta unitario año 3</t>
  </si>
  <si>
    <t>(-) Costo de producción unitario año 3</t>
  </si>
  <si>
    <t>Margen de contribución unitario año 3</t>
  </si>
  <si>
    <t>Precio de venta unitario año 4</t>
  </si>
  <si>
    <t>(-) Costo de producción unitario año 4</t>
  </si>
  <si>
    <t>Margen de contribución unitario año 4</t>
  </si>
  <si>
    <t>Precio de venta unitario año 5</t>
  </si>
  <si>
    <t>(-) Costo de producción unitario año 5</t>
  </si>
  <si>
    <t>Margen de contribución unitario año 5</t>
  </si>
  <si>
    <t xml:space="preserve">INVERSIÓN EN INFRAESTRUCTURA </t>
  </si>
  <si>
    <t>En el cuadro que se presenta a continuación debes diligenciar la información relacionada con la inversión necesaria en infraestructura, activos no tangibles, agotables, etc., que serán necesarios para poner en funcionamiento el plan de negocio.</t>
  </si>
  <si>
    <t>ACTIVO DEPRECIABLE</t>
  </si>
  <si>
    <t xml:space="preserve">Terrenos </t>
  </si>
  <si>
    <t xml:space="preserve">Inversión  </t>
  </si>
  <si>
    <t>Año 0 (Momento de la inversión inicial)</t>
  </si>
  <si>
    <t xml:space="preserve">Construcciones y edificaciones </t>
  </si>
  <si>
    <t>Cantidad</t>
  </si>
  <si>
    <t xml:space="preserve">Valor unitario </t>
  </si>
  <si>
    <t>Valor total</t>
  </si>
  <si>
    <t xml:space="preserve">Vida útil </t>
  </si>
  <si>
    <t>SUBTOTAL CONSTRUCCIONES Y EDIFICACIONES</t>
  </si>
  <si>
    <t xml:space="preserve">Maquinaria y equipo </t>
  </si>
  <si>
    <t xml:space="preserve">SUBTOTAL MAQUINARIA Y EQUIPO </t>
  </si>
  <si>
    <t>Muebles y enseres</t>
  </si>
  <si>
    <t>SUBTOTAL MUEBLES Y ENSERES</t>
  </si>
  <si>
    <t xml:space="preserve">Equipo y transporte </t>
  </si>
  <si>
    <t xml:space="preserve">SUBTOTAL EQUIPO Y TRANSPORTE </t>
  </si>
  <si>
    <t xml:space="preserve">Equipo de oficina </t>
  </si>
  <si>
    <t>SUBTOTAL EQUIPO DE OFICINA</t>
  </si>
  <si>
    <t xml:space="preserve">TOTAL INVERSIÓN EN ACTIVOS DEPRECIABLES  </t>
  </si>
  <si>
    <t xml:space="preserve">AGOTAMIENTO Y AMORTIZACIÓN </t>
  </si>
  <si>
    <t xml:space="preserve">Inversión </t>
  </si>
  <si>
    <t>Vida útil</t>
  </si>
  <si>
    <t xml:space="preserve">Semovientes </t>
  </si>
  <si>
    <t xml:space="preserve">SUBTOTAL SEMOVIENTES </t>
  </si>
  <si>
    <t xml:space="preserve">Cultivos permanentes </t>
  </si>
  <si>
    <t>SUBTOTAL CULTIVOS PERMANENTES</t>
  </si>
  <si>
    <t xml:space="preserve">GASTOS PUESTA EN MARCHA ( GASTOS PAGADOS POR ANTICIPADO ) -  RENOVACIÓN ANUAL  </t>
  </si>
  <si>
    <t xml:space="preserve">SUBTOTAL </t>
  </si>
  <si>
    <t xml:space="preserve">TOTAL AMORTIZACIÓN </t>
  </si>
  <si>
    <t xml:space="preserve">Activos diferidos </t>
  </si>
  <si>
    <t xml:space="preserve">Franquicia </t>
  </si>
  <si>
    <t xml:space="preserve">Patentes </t>
  </si>
  <si>
    <t xml:space="preserve">Derecho de uso de marcas </t>
  </si>
  <si>
    <t xml:space="preserve">SUBTOTAL ACTIVOS DIFERIDOS </t>
  </si>
  <si>
    <t xml:space="preserve">TOTAL ACTIVOS DIFERIDOS </t>
  </si>
  <si>
    <t xml:space="preserve">TOTAL INVERSIONES ANUALES EN ACTIVOS </t>
  </si>
  <si>
    <t>DEPRECIACIÓN DE MUEBLES Y ENSERES MÉTODO LÍNEA RECTA</t>
  </si>
  <si>
    <t>Equipo</t>
  </si>
  <si>
    <t xml:space="preserve">COMPRA DE ACTIVOS AÑO 0 </t>
  </si>
  <si>
    <t xml:space="preserve">VIDA ÚTIL </t>
  </si>
  <si>
    <t xml:space="preserve">VALOR EN LIBROS </t>
  </si>
  <si>
    <t>Edificaciones</t>
  </si>
  <si>
    <t>Depreciación acumulada</t>
  </si>
  <si>
    <t>Maquinaria y equipo</t>
  </si>
  <si>
    <t>Equipo de transporte</t>
  </si>
  <si>
    <t>Equipo de oficina</t>
  </si>
  <si>
    <t>SUBTOTAL DEPRECIACIÓN</t>
  </si>
  <si>
    <t>Semovientes</t>
  </si>
  <si>
    <t>Cultivos permanentes</t>
  </si>
  <si>
    <t>Agotamiento acumulado</t>
  </si>
  <si>
    <t>Gastos puesta en marcha</t>
  </si>
  <si>
    <t>Amortización acumulada</t>
  </si>
  <si>
    <t>Amortización de Diferidos</t>
  </si>
  <si>
    <t>Amortización acumulada de Diferidos</t>
  </si>
  <si>
    <t xml:space="preserve">COMPRAS ACTIVO AÑO 1 </t>
  </si>
  <si>
    <t xml:space="preserve">Equipo </t>
  </si>
  <si>
    <t xml:space="preserve">Valor en libros </t>
  </si>
  <si>
    <t xml:space="preserve">COMPRAS ACTIVO AÑO 2 </t>
  </si>
  <si>
    <t xml:space="preserve">COMPRAS ACTIVO AÑO 3 </t>
  </si>
  <si>
    <t>COMPRAS ACTIVO AÑO 4</t>
  </si>
  <si>
    <t xml:space="preserve">CONSTRUCCIONES Y EDIFICACIONES </t>
  </si>
  <si>
    <t xml:space="preserve">DATO PARA EL BALANCE </t>
  </si>
  <si>
    <t>DEPRECIACIÓN ACUMULADA</t>
  </si>
  <si>
    <t>DEPRECIACIÓN DEL PERIÓDO</t>
  </si>
  <si>
    <t xml:space="preserve">MAQUINARIA Y EQUIPO </t>
  </si>
  <si>
    <t>MUEBLES Y ENSERES</t>
  </si>
  <si>
    <t xml:space="preserve">EQUIPO DE TRANSPORTE </t>
  </si>
  <si>
    <t xml:space="preserve">EQUIPO DE OFICINA </t>
  </si>
  <si>
    <t xml:space="preserve">SEMOVIENTES </t>
  </si>
  <si>
    <t>AMORTIZACIÓN ACUMULADA</t>
  </si>
  <si>
    <t>AMORTIZACIÓN DEL PERIÓDO</t>
  </si>
  <si>
    <t xml:space="preserve">CULTIVOS PERMANENTES </t>
  </si>
  <si>
    <t xml:space="preserve">GASTOS PUESTOS EN MARCHA </t>
  </si>
  <si>
    <t xml:space="preserve">ACTIVOS DIFERIDOS </t>
  </si>
  <si>
    <t xml:space="preserve">TOTAL DEPRECIACIÓN </t>
  </si>
  <si>
    <t xml:space="preserve">AGOTAMIENTO </t>
  </si>
  <si>
    <t xml:space="preserve">TERRENOS </t>
  </si>
  <si>
    <t xml:space="preserve">NÓMINA ADMINISTRATIVA </t>
  </si>
  <si>
    <t>CARGOS VINCULADOS POR MEDIO DE CONTRATO DE NÓMINA (PLANTA)</t>
  </si>
  <si>
    <t xml:space="preserve">ITEM </t>
  </si>
  <si>
    <t xml:space="preserve">CARGO </t>
  </si>
  <si>
    <t xml:space="preserve">BÁSICO </t>
  </si>
  <si>
    <t xml:space="preserve">SUBSIDIO DE TRANSPORTE </t>
  </si>
  <si>
    <t>TOTAL DEVENG.</t>
  </si>
  <si>
    <t xml:space="preserve">Cesantías </t>
  </si>
  <si>
    <t xml:space="preserve">Intereses sobre cesantías </t>
  </si>
  <si>
    <t xml:space="preserve">Prima de servicios </t>
  </si>
  <si>
    <t xml:space="preserve">Vacaciones </t>
  </si>
  <si>
    <t xml:space="preserve">Aportes parafiscales </t>
  </si>
  <si>
    <t xml:space="preserve">Pensión </t>
  </si>
  <si>
    <t>Salud</t>
  </si>
  <si>
    <t xml:space="preserve">Riesgo profesional </t>
  </si>
  <si>
    <t xml:space="preserve">Mensual </t>
  </si>
  <si>
    <t xml:space="preserve">Anual </t>
  </si>
  <si>
    <t>Anual</t>
  </si>
  <si>
    <t xml:space="preserve">CARGOS VINCULADOS POR MEDIO DE CONTRATO DE PRESTACIÓN DE SERVICIOS, HONORARIOS </t>
  </si>
  <si>
    <t xml:space="preserve">ANUAL </t>
  </si>
  <si>
    <t xml:space="preserve">Mensual  </t>
  </si>
  <si>
    <t xml:space="preserve">NÓMINA ÁREA DE VENTAS </t>
  </si>
  <si>
    <t>TOTAL DEVENG</t>
  </si>
  <si>
    <t xml:space="preserve"> </t>
  </si>
  <si>
    <t>CARGOS VINCULADOS POR MEDIO DE CONTRATO DE PRESTACIÓN DE SERVICIO, HONORARIOS</t>
  </si>
  <si>
    <t xml:space="preserve">NÓMINA ÁREA DE PRODUCCIÓN </t>
  </si>
  <si>
    <t xml:space="preserve">Información </t>
  </si>
  <si>
    <t xml:space="preserve">PRESUPUESTO DE LA MEZCLA DE MERCADEO </t>
  </si>
  <si>
    <t xml:space="preserve">COSTOS Y GASTOS FIJOS </t>
  </si>
  <si>
    <t xml:space="preserve">COSTO O GASTO </t>
  </si>
  <si>
    <t xml:space="preserve">VALOR MENSUAL </t>
  </si>
  <si>
    <t xml:space="preserve">VALOR ANUAL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</si>
  <si>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</si>
  <si>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</si>
  <si>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</si>
  <si>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</si>
  <si>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</si>
  <si>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</si>
  <si>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TOTAL COSTOS Y GASTOS FIJOS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</si>
  <si>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</si>
  <si>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</si>
  <si>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</si>
  <si>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</si>
  <si>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</si>
  <si>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</si>
  <si>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TOTAL REQUERIMIENTO DE CAPITAL PARA EL PLAN DE NEGOCIO  </t>
  </si>
  <si>
    <t xml:space="preserve">MONTO APARTADO POR LOS EMPRENDEDORES </t>
  </si>
  <si>
    <t xml:space="preserve">TOTAL MONTO DEL CRÉDITO A SOLICITAR </t>
  </si>
  <si>
    <t xml:space="preserve">Tasas de interés </t>
  </si>
  <si>
    <t xml:space="preserve">AÑOS </t>
  </si>
  <si>
    <t xml:space="preserve">CUOTA A PAGAR </t>
  </si>
  <si>
    <t xml:space="preserve">ABONO A CAPITAL </t>
  </si>
  <si>
    <t>INTERESES</t>
  </si>
  <si>
    <t xml:space="preserve">SALDO DE LA DEUDA </t>
  </si>
  <si>
    <t xml:space="preserve">PERIODO </t>
  </si>
  <si>
    <t xml:space="preserve">MARGEN DE CONTRIBUCIÓN TOTAL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</si>
  <si>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</si>
  <si>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</si>
  <si>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</si>
  <si>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</si>
  <si>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</si>
  <si>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</si>
  <si>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</si>
  <si>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</si>
  <si>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</si>
  <si>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</si>
  <si>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ÚNICAMENTE LAS CELDAS BLANCAS SON MODIFICABLES</t>
  </si>
  <si>
    <t xml:space="preserve">PRODUCTO Y/O SERVICIO </t>
  </si>
  <si>
    <t>INGRESOS TOTALES</t>
  </si>
  <si>
    <t xml:space="preserve">PRECIO DE VENTA </t>
  </si>
  <si>
    <t xml:space="preserve">COSTOS DE PRODUCCIÓN </t>
  </si>
  <si>
    <t xml:space="preserve">MARGEN DE CONTRIBUCIÓN UNITARIO </t>
  </si>
  <si>
    <t xml:space="preserve">PARTICIPACIÓN PORCENTUAL DE LAS VENTAS </t>
  </si>
  <si>
    <t xml:space="preserve">TOTAL VENTAS </t>
  </si>
  <si>
    <t xml:space="preserve">MARGEN DE CONTRIBUCIÓN PROMEDIO PONDERADO </t>
  </si>
  <si>
    <t xml:space="preserve">PARTICIPACIÓN % EN VENTAS </t>
  </si>
  <si>
    <t xml:space="preserve">MARGEN PONDERADO </t>
  </si>
  <si>
    <t xml:space="preserve">DATOS GRÁFICO </t>
  </si>
  <si>
    <t xml:space="preserve">PUNTO DE EQUILIBRIO </t>
  </si>
  <si>
    <t>Unidades vendidas</t>
  </si>
  <si>
    <t xml:space="preserve">Ingresos totales </t>
  </si>
  <si>
    <t>Costos fijos totales</t>
  </si>
  <si>
    <t>Costos variables totales</t>
  </si>
  <si>
    <t xml:space="preserve">Costo total </t>
  </si>
  <si>
    <t xml:space="preserve">MARGEN DE CONTRIBUCIÓN PROMEDIO </t>
  </si>
  <si>
    <t>UTILIDAD</t>
  </si>
  <si>
    <t>PUNTO DE EQUILIBRIO EN UNIDADES</t>
  </si>
  <si>
    <t xml:space="preserve">CANTIDAD A VENDER POR PRODUCTO PARA PUNTO DE EQUILIBRIO </t>
  </si>
  <si>
    <t xml:space="preserve">UNIDADES CALCULADAS PARA EL GRÁFICO </t>
  </si>
  <si>
    <t>TOTAL UNIDADES</t>
  </si>
  <si>
    <t xml:space="preserve">DATOS REQUERIDOS PARA AJUSTES DEL BALANCE  </t>
  </si>
  <si>
    <t xml:space="preserve">Inventario Materia Prima Rotación </t>
  </si>
  <si>
    <t>días compras</t>
  </si>
  <si>
    <t xml:space="preserve">Inventario Materia Prima  </t>
  </si>
  <si>
    <t>$</t>
  </si>
  <si>
    <t xml:space="preserve">variación de Materia Prima </t>
  </si>
  <si>
    <t xml:space="preserve">Rotación Cartera Clientes </t>
  </si>
  <si>
    <t>días</t>
  </si>
  <si>
    <t xml:space="preserve">Cartera Clientes </t>
  </si>
  <si>
    <t>Cartera Clientes (Var.)</t>
  </si>
  <si>
    <t xml:space="preserve">Cuentas Por Pagar Proveedores </t>
  </si>
  <si>
    <t xml:space="preserve">días </t>
  </si>
  <si>
    <t xml:space="preserve">Cuantas Por Pagar Proveedores </t>
  </si>
  <si>
    <t>Cuentas Por Pagar Proveedores (Var.)</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</si>
  <si>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</si>
  <si>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</si>
  <si>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</si>
  <si>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</si>
  <si>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</si>
  <si>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</si>
  <si>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</si>
  <si>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</si>
  <si>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Total Activo Corriente (NO REALIZABLE)</t>
  </si>
  <si>
    <t>ACTIVO FIJO</t>
  </si>
  <si>
    <t xml:space="preserve">Construcciones y Edificios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</si>
  <si>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</si>
  <si>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</si>
  <si>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</si>
  <si>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</si>
  <si>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</si>
  <si>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</si>
  <si>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 xml:space="preserve">Depreciación Acumulada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</si>
  <si>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</si>
  <si>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</si>
  <si>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</si>
  <si>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</si>
  <si>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</si>
  <si>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</si>
  <si>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</si>
  <si>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</si>
  <si>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Cultivos Permanentes Neto</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</si>
  <si>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</si>
  <si>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</si>
  <si>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</si>
  <si>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</si>
  <si>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</si>
  <si>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</si>
  <si>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</si>
  <si>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</si>
  <si>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</si>
  <si>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</si>
  <si>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</si>
  <si>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</si>
  <si>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</si>
  <si>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</si>
  <si>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</si>
  <si>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</si>
  <si>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</si>
  <si>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</si>
  <si>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</si>
  <si>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</si>
  <si>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</si>
  <si>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Depreciación </t>
  </si>
  <si>
    <t xml:space="preserve">Agotamiento </t>
  </si>
  <si>
    <t xml:space="preserve">Utilidad Bruta </t>
  </si>
  <si>
    <t xml:space="preserve">Gasto de Ventas </t>
  </si>
  <si>
    <t>RESERVA LEGAL</t>
  </si>
  <si>
    <t xml:space="preserve">Gastos de Administración </t>
  </si>
  <si>
    <t xml:space="preserve">RESERVA VOLUNTARIA </t>
  </si>
  <si>
    <t xml:space="preserve">Gastos de Producción </t>
  </si>
  <si>
    <t xml:space="preserve">DEVOLUCIONES EN VENTAS </t>
  </si>
  <si>
    <t xml:space="preserve">Industria y Comercio </t>
  </si>
  <si>
    <t>PROVISIONES</t>
  </si>
  <si>
    <t>Provisiones</t>
  </si>
  <si>
    <t>DIVIDENDOS</t>
  </si>
  <si>
    <t xml:space="preserve">Armotización Gastos </t>
  </si>
  <si>
    <t>Utilidad Operativa</t>
  </si>
  <si>
    <t xml:space="preserve">Otros ingresos </t>
  </si>
  <si>
    <t xml:space="preserve">Intereses </t>
  </si>
  <si>
    <t>Servicio de la deuda</t>
  </si>
  <si>
    <t xml:space="preserve">Otros ingresos y egresos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</si>
  <si>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</si>
  <si>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</si>
  <si>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</si>
  <si>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</si>
  <si>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</si>
  <si>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</si>
  <si>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 xml:space="preserve">Utilidad antes de impuestos </t>
  </si>
  <si>
    <t xml:space="preserve">Impuesto de renta </t>
  </si>
  <si>
    <t>Reserva legal</t>
  </si>
  <si>
    <t xml:space="preserve">Reserva voluntaria </t>
  </si>
  <si>
    <t>Utilidad Distribuible</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</si>
  <si>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</si>
  <si>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</si>
  <si>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</si>
  <si>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</si>
  <si>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</si>
  <si>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</si>
  <si>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</si>
  <si>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</si>
  <si>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</si>
  <si>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</si>
  <si>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</si>
  <si>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</si>
  <si>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</si>
  <si>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</si>
  <si>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</si>
  <si>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</si>
  <si>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</si>
  <si>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</si>
  <si>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</si>
  <si>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</si>
  <si>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</si>
  <si>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</si>
  <si>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</si>
  <si>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</si>
  <si>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</si>
  <si>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</si>
  <si>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</si>
  <si>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</si>
  <si>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</si>
  <si>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</si>
  <si>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</si>
  <si>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</si>
  <si>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Neto Periodo</t>
  </si>
  <si>
    <t xml:space="preserve">Saldo anterior </t>
  </si>
  <si>
    <t xml:space="preserve">Saldo Neto del periódo </t>
  </si>
  <si>
    <t>TASA MÍNIMA DE RENDIMIENTO ESPERADA POR LOS EMPRENDEDORES</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</si>
  <si>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</si>
  <si>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</si>
  <si>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</si>
  <si>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</si>
  <si>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</si>
  <si>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</si>
  <si>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</si>
  <si>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TASA DE EMPRENDIMIENTO ESPERADA POR LOS EMPRENDEDORES</t>
  </si>
  <si>
    <t>(=) VALOR PRESENTE NETO POSITIVO</t>
  </si>
  <si>
    <t>VIABLE</t>
  </si>
  <si>
    <t>MENOR QUE &lt;</t>
  </si>
  <si>
    <t xml:space="preserve">TASA DE EMPRENDIMIENTO ESPERADA POR LOS EMPRENDEDORES </t>
  </si>
  <si>
    <t xml:space="preserve">(=) VALOR PRESENTE NETO NEGATIVO </t>
  </si>
  <si>
    <t>INVIABLE</t>
  </si>
  <si>
    <t>IGUAL QUE =</t>
  </si>
  <si>
    <t xml:space="preserve">(=) VALOR PRESENTE NETO IGUAL A CERO </t>
  </si>
  <si>
    <t>INDIFERENCIA FINANCIERA</t>
  </si>
  <si>
    <t xml:space="preserve">PERIÓDO </t>
  </si>
  <si>
    <t xml:space="preserve">Liquidez - Razón Corriente </t>
  </si>
  <si>
    <t xml:space="preserve">Nivel de Endeudamiento Total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</si>
  <si>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</si>
  <si>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</si>
  <si>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</si>
  <si>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</si>
  <si>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</si>
  <si>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</si>
  <si>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TOTAL INVERSIÓN </t>
  </si>
  <si>
    <t xml:space="preserve">PORCENTAJE DE PARTICIPACIÓN </t>
  </si>
  <si>
    <t xml:space="preserve">COSTO DE CAPITAL </t>
  </si>
  <si>
    <t xml:space="preserve">IMPUESTOS </t>
  </si>
  <si>
    <t xml:space="preserve">COSTO PROMEDIO PONDERADO DE CAPITAL </t>
  </si>
  <si>
    <t xml:space="preserve">APORTE DE LOS SOCIOS </t>
  </si>
  <si>
    <t xml:space="preserve">FINANCIADO POR DEUDA </t>
  </si>
  <si>
    <t>WACC</t>
  </si>
  <si>
    <t>ANÁLISIS DE SENSIBILIDAD</t>
  </si>
  <si>
    <t xml:space="preserve">ESCENARIO PESIMISTA </t>
  </si>
  <si>
    <t xml:space="preserve">ESCENARIO ACTUAL </t>
  </si>
  <si>
    <t xml:space="preserve">ESCENARIO OPTIMISTA </t>
  </si>
  <si>
    <t xml:space="preserve">ANÁLISIS DE SENSIBILIDAD AÑO 1 </t>
  </si>
  <si>
    <t xml:space="preserve">Variación del incremento de ventas </t>
  </si>
  <si>
    <t xml:space="preserve">Variación en el incremento de ventas </t>
  </si>
  <si>
    <t xml:space="preserve">Utilidad Operativa </t>
  </si>
  <si>
    <t xml:space="preserve">Utilidad Antes de Impuestos </t>
  </si>
  <si>
    <t xml:space="preserve">Utilidad Distribuible </t>
  </si>
  <si>
    <t xml:space="preserve">VPN </t>
  </si>
  <si>
    <t>ANÁLISIS DE SENSIBILIDAD AÑO 2</t>
  </si>
  <si>
    <t xml:space="preserve">FLUJO DE CAJA OPERATIVO </t>
  </si>
  <si>
    <t>ANÁLISIS DE SENSIBILIDAD AÑO 3</t>
  </si>
  <si>
    <t xml:space="preserve">FLUJO DE CAJA DE INVERSIÓN </t>
  </si>
  <si>
    <t xml:space="preserve">  Variación del Capital del Trabajo </t>
  </si>
  <si>
    <t>ANÁLISIS DE SENSIBILIDAD AÑO 4</t>
  </si>
  <si>
    <t xml:space="preserve">FLUJO DE CAJA FINANCIAMIENTO </t>
  </si>
  <si>
    <t>ANÁLISIS DE SENSIBILIDAD AÑO 5</t>
  </si>
  <si>
    <t xml:space="preserve">FLUJO DE CAJA NETO </t>
  </si>
  <si>
    <t xml:space="preserve">Flujo de caja neto </t>
  </si>
  <si>
    <t xml:space="preserve">Valor Presento Neto </t>
  </si>
  <si>
    <t>DANE</t>
  </si>
  <si>
    <t>LA REPUBLICA</t>
  </si>
  <si>
    <t xml:space="preserve">DANE </t>
  </si>
  <si>
    <t xml:space="preserve">DIAN </t>
  </si>
  <si>
    <t xml:space="preserve">GERENCIE </t>
  </si>
  <si>
    <t>HISTÓRICOS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</si>
</sst>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8" formatCode="&quot;$&quot;\ #,##0.00;[Red]\-&quot;$&quot;\ #,##0.00"/>
    <numFmt numFmtId="44" formatCode="_-&quot;$&quot;\ * #,##0.00_-;\-&quot;$&quot;\ * #,##0.00_-;_-&quot;$&quot;\ * &quot;-&quot;??_-;_-@_-"/>
    <numFmt numFmtId="43" formatCode="_-* #,##0.00_-;\-* #,##0.00_-;_-* &quot;-&quot;??_-;_-@_-"/>
    <numFmt numFmtId="164" formatCode="_-&quot;$&quot;\ * #,##0.0_-;\-&quot;$&quot;\ * #,##0.0_-;_-&quot;$&quot;\ * &quot;-&quot;??_-;_-@_-"/>
    <numFmt numFmtId="165" formatCode="_-&quot;$&quot;\ * #,##0_-;\-&quot;$&quot;\ * #,##0_-;_-&quot;$&quot;\ * &quot;-&quot;??_-;_-@_-"/>
    <numFmt numFmtId="166" formatCode="_-&quot;$&quot;\ * #,##0.0_-;\-&quot;$&quot;\ * #,##0.0_-;_-&quot;$&quot;\ * &quot;-&quot;?_-;_-@_-"/>
    <numFmt numFmtId="167" formatCode="_ &quot;$&quot;\ * #,##0_ ;_ &quot;$&quot;\ * \-#,##0_ ;_ &quot;$&quot;\ * &quot;-&quot;??_ ;_ @_ "/>
    <numFmt numFmtId="168" formatCode="_-* #,##0.000_-;\-* #,##0.000_-;_-* &quot;-&quot;??_-;_-@_-"/>
    <numFmt numFmtId="169" formatCode="0.0%"/>
    <numFmt numFmtId="170" formatCode="0.00000"/>
  </numFmts>
  <fonts count="75"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9"/>
      <color indexed="81"/>
      <name val="Tahoma"/>
      <family val="2"/>
    </font>
    <font>
      <b/>
      <sz val="9"/>
      <color indexed="81"/>
      <name val="Tahoma"/>
      <family val="2"/>
    </font>
    <font>
      <sz val="11"/>
      <name val="Calibri"/>
      <family val="2"/>
      <scheme val="minor"/>
    </font>
    <font>
      <b/>
      <sz val="12"/>
      <color theme="1"/>
      <name val="Times New Roman"/>
      <family val="1"/>
    </font>
    <font>
      <sz val="12"/>
      <color theme="1"/>
      <name val="Times New Roman"/>
      <family val="1"/>
    </font>
    <font>
      <b/>
      <sz val="12"/>
      <color theme="0"/>
      <name val="Times New Roman"/>
      <family val="1"/>
    </font>
    <font>
      <b/>
      <sz val="12"/>
      <color rgb="FFFA7D00"/>
      <name val="Times New Roman"/>
      <family val="1"/>
    </font>
    <font>
      <b/>
      <sz val="12"/>
      <color theme="4"/>
      <name val="Times New Roman"/>
      <family val="1"/>
    </font>
    <font>
      <b/>
      <sz val="12"/>
      <name val="Times New Roman"/>
      <family val="1"/>
    </font>
    <font>
      <sz val="8"/>
      <name val="Calibri"/>
      <family val="2"/>
      <scheme val="minor"/>
    </font>
    <font>
      <u/>
      <sz val="12"/>
      <color theme="1"/>
      <name val="Times New Roman"/>
      <family val="1"/>
    </font>
    <font>
      <sz val="12"/>
      <color theme="0"/>
      <name val="Times New Roman"/>
      <family val="1"/>
    </font>
    <font>
      <sz val="12"/>
      <name val="Times New Roman"/>
      <family val="1"/>
    </font>
    <font>
      <sz val="28"/>
      <color theme="1"/>
      <name val="Agency FB"/>
      <family val="2"/>
    </font>
    <font>
      <sz val="20"/>
      <color theme="1"/>
      <name val="Calibri"/>
      <family val="2"/>
      <scheme val="minor"/>
    </font>
    <font>
      <sz val="8"/>
      <color theme="1"/>
      <name val="Times New Roman"/>
      <family val="1"/>
    </font>
    <font>
      <b/>
      <sz val="8"/>
      <color theme="1"/>
      <name val="Times New Roman"/>
      <family val="1"/>
    </font>
    <font>
      <sz val="26"/>
      <color theme="1"/>
      <name val="Times New Roman"/>
      <family val="1"/>
    </font>
    <font>
      <sz val="11"/>
      <color theme="1"/>
      <name val="Times New Roman"/>
      <family val="1"/>
    </font>
    <font>
      <sz val="28"/>
      <color theme="1"/>
      <name val="Times New Roman"/>
      <family val="1"/>
    </font>
    <font>
      <b/>
      <sz val="11"/>
      <color theme="1"/>
      <name val="Times New Roman"/>
      <family val="1"/>
    </font>
    <font>
      <b/>
      <sz val="11"/>
      <color theme="0"/>
      <name val="Times New Roman"/>
      <family val="1"/>
    </font>
    <font>
      <sz val="11"/>
      <color theme="0"/>
      <name val="Times New Roman"/>
      <family val="1"/>
    </font>
    <font>
      <b/>
      <sz val="11"/>
      <name val="Times New Roman"/>
      <family val="1"/>
    </font>
    <font>
      <sz val="11"/>
      <color rgb="FF002060"/>
      <name val="Times New Roman"/>
      <family val="1"/>
    </font>
    <font>
      <b/>
      <sz val="14"/>
      <color theme="1"/>
      <name val="Times New Roman"/>
      <family val="1"/>
    </font>
    <font>
      <b/>
      <sz val="14"/>
      <name val="Times New Roman"/>
      <family val="1"/>
    </font>
    <font>
      <b/>
      <sz val="11"/>
      <color rgb="FF002060"/>
      <name val="Times New Roman"/>
      <family val="1"/>
    </font>
    <font>
      <sz val="9"/>
      <color rgb="FF002060"/>
      <name val="Times New Roman"/>
      <family val="1"/>
    </font>
    <font>
      <sz val="10"/>
      <name val="Times New Roman"/>
      <family val="1"/>
    </font>
    <font>
      <b/>
      <sz val="14"/>
      <color theme="0"/>
      <name val="Times New Roman"/>
      <family val="1"/>
    </font>
    <font>
      <sz val="11"/>
      <name val="Times New Roman"/>
      <family val="1"/>
    </font>
    <font>
      <b/>
      <sz val="9"/>
      <color theme="1"/>
      <name val="Times New Roman"/>
      <family val="1"/>
    </font>
    <font>
      <b/>
      <sz val="10"/>
      <color theme="1"/>
      <name val="Times New Roman"/>
      <family val="1"/>
    </font>
    <font>
      <b/>
      <sz val="18"/>
      <name val="Times New Roman"/>
      <family val="1"/>
    </font>
    <font>
      <u/>
      <sz val="12"/>
      <name val="Times New Roman"/>
      <family val="1"/>
    </font>
    <font>
      <b/>
      <u/>
      <sz val="12"/>
      <name val="Times New Roman"/>
      <family val="1"/>
    </font>
    <font>
      <sz val="12"/>
      <color theme="8" tint="0.39997558519241921"/>
      <name val="Times New Roman"/>
      <family val="1"/>
    </font>
    <font>
      <sz val="12"/>
      <color theme="7" tint="0.39997558519241921"/>
      <name val="Times New Roman"/>
      <family val="1"/>
    </font>
    <font>
      <u/>
      <sz val="12"/>
      <color theme="8" tint="0.39997558519241921"/>
      <name val="Times New Roman"/>
      <family val="1"/>
    </font>
    <font>
      <sz val="12"/>
      <color rgb="FF007D8A"/>
      <name val="Times New Roman"/>
      <family val="1"/>
    </font>
    <font>
      <b/>
      <sz val="12"/>
      <color theme="6" tint="0.39997558519241921"/>
      <name val="Times New Roman"/>
      <family val="1"/>
    </font>
    <font>
      <sz val="12"/>
      <color theme="6" tint="0.39997558519241921"/>
      <name val="Times New Roman"/>
      <family val="1"/>
    </font>
    <font>
      <b/>
      <i/>
      <sz val="12"/>
      <name val="Times New Roman"/>
      <family val="1"/>
    </font>
    <font>
      <b/>
      <i/>
      <u/>
      <sz val="12"/>
      <name val="Times New Roman"/>
      <family val="1"/>
    </font>
    <font>
      <i/>
      <sz val="12"/>
      <name val="Times New Roman"/>
      <family val="1"/>
    </font>
    <font>
      <i/>
      <u/>
      <sz val="12"/>
      <name val="Times New Roman"/>
      <family val="1"/>
    </font>
    <font>
      <i/>
      <sz val="12"/>
      <color theme="7" tint="0.39997558519241921"/>
      <name val="Times New Roman"/>
      <family val="1"/>
    </font>
    <font>
      <i/>
      <u/>
      <sz val="12"/>
      <color theme="7" tint="0.39997558519241921"/>
      <name val="Times New Roman"/>
      <family val="1"/>
    </font>
    <font>
      <i/>
      <sz val="12"/>
      <color theme="8" tint="0.39997558519241921"/>
      <name val="Times New Roman"/>
      <family val="1"/>
    </font>
    <font>
      <b/>
      <i/>
      <sz val="12"/>
      <color theme="8" tint="0.39997558519241921"/>
      <name val="Times New Roman"/>
      <family val="1"/>
    </font>
    <font>
      <b/>
      <i/>
      <sz val="12"/>
      <color theme="1"/>
      <name val="Times New Roman"/>
      <family val="1"/>
    </font>
    <font>
      <u/>
      <sz val="11"/>
      <color theme="10"/>
      <name val="Calibri"/>
      <family val="2"/>
      <scheme val="minor"/>
    </font>
    <font>
      <sz val="12"/>
      <color rgb="FF002060"/>
      <name val="Times New Roman"/>
      <family val="1"/>
    </font>
    <font>
      <u/>
      <sz val="12"/>
      <color theme="10"/>
      <name val="Times New Roman"/>
      <family val="1"/>
    </font>
    <font>
      <sz val="12"/>
      <color theme="1"/>
      <name val="Calibri"/>
      <family val="2"/>
      <scheme val="minor"/>
    </font>
    <font>
      <b/>
      <sz val="16"/>
      <color theme="1"/>
      <name val="Calibri"/>
      <family val="2"/>
      <scheme val="minor"/>
    </font>
    <font>
      <sz val="14"/>
      <color theme="1"/>
      <name val="Calibri"/>
      <family val="2"/>
      <scheme val="minor"/>
    </font>
    <font>
      <b/>
      <sz val="14"/>
      <color theme="1"/>
      <name val="Calibri"/>
      <family val="2"/>
      <scheme val="minor"/>
    </font>
    <font>
      <i/>
      <sz val="14"/>
      <color rgb="FF00B0F0"/>
      <name val="Calibri"/>
      <family val="2"/>
      <scheme val="minor"/>
    </font>
    <font>
      <sz val="14"/>
      <color rgb="FF00B0F0"/>
      <name val="Calibri"/>
      <family val="2"/>
      <scheme val="minor"/>
    </font>
    <font>
      <b/>
      <sz val="11"/>
      <color rgb="FFFF0000"/>
      <name val="Calibri"/>
      <family val="2"/>
      <scheme val="minor"/>
    </font>
    <font>
      <b/>
      <sz val="16"/>
      <color theme="1"/>
      <name val="Times New Roman"/>
      <family val="1"/>
    </font>
    <font>
      <b/>
      <sz val="12"/>
      <color theme="1"/>
      <name val="Calibri"/>
      <family val="2"/>
      <scheme val="minor"/>
    </font>
    <font>
      <sz val="12"/>
      <color rgb="FF000000"/>
      <name val="Times New Roman"/>
      <family val="1"/>
    </font>
    <font>
      <b/>
      <u/>
      <sz val="11"/>
      <color theme="1"/>
      <name val="Calibri"/>
      <family val="2"/>
      <scheme val="minor"/>
    </font>
    <font>
      <b/>
      <sz val="11"/>
      <color rgb="FF212529"/>
      <name val="Times New Roman"/>
      <family val="1"/>
    </font>
  </fonts>
  <fills count="36">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A4E6AC"/>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DAAA00"/>
        <bgColor indexed="64"/>
      </patternFill>
    </fill>
    <fill>
      <patternFill patternType="solid">
        <fgColor rgb="FF006A8E"/>
        <bgColor indexed="64"/>
      </patternFill>
    </fill>
    <fill>
      <patternFill patternType="solid">
        <fgColor theme="8" tint="0.79998168889431442"/>
        <bgColor indexed="64"/>
      </patternFill>
    </fill>
    <fill>
      <patternFill patternType="solid">
        <fgColor rgb="FF007D8A"/>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39997558519241921"/>
        <bgColor theme="9"/>
      </patternFill>
    </fill>
    <fill>
      <patternFill patternType="solid">
        <fgColor theme="7"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4" tint="0.59999389629810485"/>
        <bgColor indexed="64"/>
      </patternFill>
    </fill>
    <fill>
      <patternFill patternType="solid">
        <fgColor rgb="FFCC99FF"/>
        <bgColor indexed="64"/>
      </patternFill>
    </fill>
  </fills>
  <borders count="61">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7" fillId="0" borderId="0" applyFont="0" applyFill="0" applyBorder="0" applyAlignment="0" applyProtection="0"/>
    <xf numFmtId="44" fontId="7" fillId="0" borderId="0" applyFont="0" applyFill="0" applyBorder="0" applyAlignment="0" applyProtection="0"/>
    <xf numFmtId="0" fontId="60" fillId="0" borderId="0" applyNumberFormat="0" applyFill="0" applyBorder="0" applyAlignment="0" applyProtection="0"/>
  </cellStyleXfs>
  <cellXfs count="787">
    <xf numFmtId="0" fontId="0" fillId="0" borderId="0" xfId="0"/>
    <xf numFmtId="0" fontId="3" fillId="0" borderId="0" xfId="0" applyFont="1"/>
    <xf numFmtId="0" fontId="0" fillId="0" borderId="0" xfId="0" applyProtection="1">
      <protection locked="0"/>
    </xf>
    <xf numFmtId="0" fontId="0" fillId="0" borderId="0" xfId="0" applyAlignment="1">
      <alignment horizontal="center"/>
    </xf>
    <xf numFmtId="0" fontId="5" fillId="11" borderId="0" xfId="0" applyFont="1" applyFill="1"/>
    <xf numFmtId="10" fontId="0" fillId="0" borderId="0" xfId="0" applyNumberFormat="1"/>
    <xf numFmtId="0" fontId="0" fillId="0" borderId="3" xfId="0" applyBorder="1" applyProtection="1">
      <protection locked="0"/>
    </xf>
    <xf numFmtId="0" fontId="0" fillId="0" borderId="0" xfId="0" applyProtection="1">
      <protection hidden="1"/>
    </xf>
    <xf numFmtId="0" fontId="5" fillId="11" borderId="0" xfId="0" applyFont="1" applyFill="1" applyProtection="1">
      <protection locked="0"/>
    </xf>
    <xf numFmtId="0" fontId="12" fillId="0" borderId="0" xfId="0" applyFont="1"/>
    <xf numFmtId="0" fontId="12" fillId="0" borderId="0" xfId="0" applyFont="1" applyAlignment="1">
      <alignment horizontal="center"/>
    </xf>
    <xf numFmtId="0" fontId="12" fillId="0" borderId="4" xfId="0" applyFont="1" applyBorder="1" applyAlignment="1">
      <alignment horizontal="center"/>
    </xf>
    <xf numFmtId="0" fontId="11" fillId="0" borderId="19" xfId="0" applyFont="1" applyBorder="1" applyAlignment="1">
      <alignment horizontal="center"/>
    </xf>
    <xf numFmtId="0" fontId="11" fillId="0" borderId="11" xfId="0" applyFont="1" applyBorder="1" applyAlignment="1">
      <alignment horizontal="center"/>
    </xf>
    <xf numFmtId="0" fontId="11" fillId="23" borderId="3" xfId="0" applyFont="1" applyFill="1" applyBorder="1" applyAlignment="1">
      <alignment horizontal="center"/>
    </xf>
    <xf numFmtId="10" fontId="11" fillId="23" borderId="3" xfId="4" applyNumberFormat="1" applyFont="1" applyFill="1" applyBorder="1" applyAlignment="1" applyProtection="1">
      <alignment horizontal="center"/>
      <protection locked="0"/>
    </xf>
    <xf numFmtId="10" fontId="11" fillId="23" borderId="5" xfId="4" applyNumberFormat="1" applyFont="1" applyFill="1" applyBorder="1" applyAlignment="1" applyProtection="1">
      <alignment horizontal="center"/>
      <protection locked="0"/>
    </xf>
    <xf numFmtId="0" fontId="11" fillId="23" borderId="24" xfId="0" applyFont="1" applyFill="1" applyBorder="1" applyAlignment="1">
      <alignment horizontal="center"/>
    </xf>
    <xf numFmtId="10" fontId="11" fillId="23" borderId="11" xfId="4" applyNumberFormat="1" applyFont="1" applyFill="1" applyBorder="1" applyAlignment="1" applyProtection="1">
      <alignment horizontal="center"/>
      <protection locked="0"/>
    </xf>
    <xf numFmtId="0" fontId="11" fillId="23" borderId="10" xfId="0" applyFont="1" applyFill="1" applyBorder="1" applyAlignment="1">
      <alignment horizontal="center"/>
    </xf>
    <xf numFmtId="0" fontId="14" fillId="23" borderId="25" xfId="1" applyFont="1" applyFill="1" applyBorder="1" applyAlignment="1">
      <alignment horizontal="center"/>
    </xf>
    <xf numFmtId="10" fontId="15" fillId="23" borderId="11" xfId="4" applyNumberFormat="1" applyFont="1" applyFill="1" applyBorder="1" applyAlignment="1">
      <alignment horizontal="center" vertical="center"/>
    </xf>
    <xf numFmtId="0" fontId="14" fillId="23" borderId="10" xfId="1" applyFont="1" applyFill="1" applyBorder="1" applyAlignment="1">
      <alignment horizontal="center"/>
    </xf>
    <xf numFmtId="10" fontId="15" fillId="23" borderId="11" xfId="4" applyNumberFormat="1" applyFont="1" applyFill="1" applyBorder="1" applyAlignment="1">
      <alignment horizontal="center"/>
    </xf>
    <xf numFmtId="9" fontId="11" fillId="23" borderId="11" xfId="0" applyNumberFormat="1" applyFont="1" applyFill="1" applyBorder="1" applyAlignment="1" applyProtection="1">
      <alignment horizontal="center"/>
      <protection locked="0"/>
    </xf>
    <xf numFmtId="10" fontId="11" fillId="23" borderId="11" xfId="0" applyNumberFormat="1" applyFont="1" applyFill="1" applyBorder="1" applyAlignment="1" applyProtection="1">
      <alignment horizontal="center"/>
      <protection locked="0"/>
    </xf>
    <xf numFmtId="0" fontId="15" fillId="23" borderId="11" xfId="0" applyFont="1" applyFill="1" applyBorder="1" applyAlignment="1" applyProtection="1">
      <alignment horizontal="center"/>
      <protection hidden="1"/>
    </xf>
    <xf numFmtId="10" fontId="11" fillId="23" borderId="29" xfId="0" applyNumberFormat="1" applyFont="1" applyFill="1" applyBorder="1" applyAlignment="1" applyProtection="1">
      <alignment horizontal="center"/>
      <protection locked="0"/>
    </xf>
    <xf numFmtId="43" fontId="11" fillId="23" borderId="11" xfId="0" applyNumberFormat="1" applyFont="1" applyFill="1" applyBorder="1" applyAlignment="1" applyProtection="1">
      <alignment horizontal="center" vertical="center"/>
      <protection locked="0"/>
    </xf>
    <xf numFmtId="43" fontId="11" fillId="23" borderId="11" xfId="0" applyNumberFormat="1" applyFont="1" applyFill="1" applyBorder="1" applyAlignment="1" applyProtection="1">
      <alignment horizontal="center"/>
      <protection locked="0"/>
    </xf>
    <xf numFmtId="9" fontId="11" fillId="23" borderId="13" xfId="0" applyNumberFormat="1" applyFont="1" applyFill="1" applyBorder="1" applyAlignment="1" applyProtection="1">
      <alignment horizontal="center"/>
      <protection locked="0"/>
    </xf>
    <xf numFmtId="0" fontId="11" fillId="23" borderId="3" xfId="0" applyFont="1" applyFill="1" applyBorder="1" applyAlignment="1" applyProtection="1">
      <alignment horizontal="center"/>
      <protection locked="0"/>
    </xf>
    <xf numFmtId="0" fontId="11" fillId="23" borderId="0" xfId="0" applyFont="1" applyFill="1" applyAlignment="1">
      <alignment horizontal="center"/>
    </xf>
    <xf numFmtId="0" fontId="11" fillId="23" borderId="12" xfId="0" applyFont="1" applyFill="1" applyBorder="1" applyAlignment="1">
      <alignment horizontal="center"/>
    </xf>
    <xf numFmtId="0" fontId="11" fillId="23" borderId="35" xfId="0" applyFont="1" applyFill="1" applyBorder="1" applyAlignment="1">
      <alignment horizontal="center"/>
    </xf>
    <xf numFmtId="0" fontId="11" fillId="23" borderId="15" xfId="0" applyFont="1" applyFill="1" applyBorder="1" applyAlignment="1" applyProtection="1">
      <alignment horizontal="center"/>
      <protection locked="0"/>
    </xf>
    <xf numFmtId="0" fontId="11" fillId="23" borderId="21" xfId="0" applyFont="1" applyFill="1" applyBorder="1" applyAlignment="1">
      <alignment horizontal="center"/>
    </xf>
    <xf numFmtId="9" fontId="12" fillId="0" borderId="3" xfId="0" applyNumberFormat="1" applyFont="1" applyBorder="1" applyAlignment="1" applyProtection="1">
      <alignment horizontal="center"/>
      <protection locked="0"/>
    </xf>
    <xf numFmtId="0" fontId="12" fillId="0" borderId="0" xfId="0" applyFont="1" applyProtection="1">
      <protection locked="0"/>
    </xf>
    <xf numFmtId="0" fontId="12" fillId="0" borderId="0" xfId="0" applyFont="1" applyAlignment="1" applyProtection="1">
      <alignment horizontal="center"/>
      <protection locked="0"/>
    </xf>
    <xf numFmtId="12" fontId="12" fillId="10" borderId="7" xfId="0" applyNumberFormat="1" applyFont="1" applyFill="1" applyBorder="1" applyAlignment="1" applyProtection="1">
      <alignment horizontal="center"/>
      <protection hidden="1"/>
    </xf>
    <xf numFmtId="0" fontId="12" fillId="10" borderId="3" xfId="0" applyFont="1" applyFill="1" applyBorder="1" applyAlignment="1" applyProtection="1">
      <alignment horizontal="center"/>
      <protection hidden="1"/>
    </xf>
    <xf numFmtId="10" fontId="12" fillId="10" borderId="3" xfId="0" applyNumberFormat="1" applyFont="1" applyFill="1" applyBorder="1" applyAlignment="1" applyProtection="1">
      <alignment horizontal="center"/>
      <protection hidden="1"/>
    </xf>
    <xf numFmtId="8" fontId="12" fillId="10" borderId="0" xfId="0" applyNumberFormat="1" applyFont="1" applyFill="1" applyAlignment="1" applyProtection="1">
      <alignment horizontal="center"/>
      <protection hidden="1"/>
    </xf>
    <xf numFmtId="0" fontId="12" fillId="10" borderId="0" xfId="0" applyFont="1" applyFill="1" applyProtection="1">
      <protection hidden="1"/>
    </xf>
    <xf numFmtId="0" fontId="12" fillId="21" borderId="16" xfId="0" applyFont="1" applyFill="1" applyBorder="1" applyAlignment="1">
      <alignment horizontal="center"/>
    </xf>
    <xf numFmtId="0" fontId="12" fillId="15" borderId="0" xfId="0" applyFont="1" applyFill="1" applyAlignment="1" applyProtection="1">
      <alignment horizontal="center"/>
      <protection locked="0"/>
    </xf>
    <xf numFmtId="169" fontId="12" fillId="10" borderId="0" xfId="0" applyNumberFormat="1" applyFont="1" applyFill="1" applyAlignment="1" applyProtection="1">
      <alignment horizontal="center"/>
      <protection hidden="1"/>
    </xf>
    <xf numFmtId="10" fontId="12" fillId="10" borderId="0" xfId="0" applyNumberFormat="1" applyFont="1" applyFill="1" applyAlignment="1" applyProtection="1">
      <alignment horizontal="center"/>
      <protection hidden="1"/>
    </xf>
    <xf numFmtId="0" fontId="12" fillId="21" borderId="16" xfId="0" applyFont="1" applyFill="1" applyBorder="1" applyAlignment="1" applyProtection="1">
      <alignment horizontal="center"/>
      <protection hidden="1"/>
    </xf>
    <xf numFmtId="0" fontId="0" fillId="10" borderId="0" xfId="0" applyFill="1" applyProtection="1">
      <protection hidden="1"/>
    </xf>
    <xf numFmtId="0" fontId="12" fillId="0" borderId="3" xfId="0" applyFont="1" applyBorder="1" applyAlignment="1" applyProtection="1">
      <alignment horizontal="center"/>
      <protection locked="0"/>
    </xf>
    <xf numFmtId="0" fontId="12" fillId="25" borderId="0" xfId="0" applyFont="1" applyFill="1" applyAlignment="1" applyProtection="1">
      <alignment horizontal="center"/>
      <protection hidden="1"/>
    </xf>
    <xf numFmtId="6" fontId="12" fillId="25" borderId="0" xfId="0" applyNumberFormat="1" applyFont="1" applyFill="1" applyAlignment="1" applyProtection="1">
      <alignment horizontal="center"/>
      <protection hidden="1"/>
    </xf>
    <xf numFmtId="6" fontId="20" fillId="25" borderId="0" xfId="0" applyNumberFormat="1" applyFont="1" applyFill="1" applyAlignment="1" applyProtection="1">
      <alignment horizontal="center"/>
      <protection hidden="1"/>
    </xf>
    <xf numFmtId="0" fontId="19" fillId="24" borderId="34" xfId="0" applyFont="1" applyFill="1" applyBorder="1" applyAlignment="1" applyProtection="1">
      <alignment horizontal="center"/>
      <protection locked="0"/>
    </xf>
    <xf numFmtId="0" fontId="19" fillId="24" borderId="34" xfId="0" applyFont="1" applyFill="1" applyBorder="1" applyAlignment="1">
      <alignment horizontal="center"/>
    </xf>
    <xf numFmtId="3" fontId="12" fillId="0" borderId="3" xfId="0" applyNumberFormat="1" applyFont="1" applyBorder="1" applyAlignment="1" applyProtection="1">
      <alignment horizontal="center"/>
      <protection locked="0"/>
    </xf>
    <xf numFmtId="6" fontId="12" fillId="0" borderId="3" xfId="0" applyNumberFormat="1" applyFont="1" applyBorder="1" applyAlignment="1" applyProtection="1">
      <alignment horizontal="center"/>
      <protection locked="0"/>
    </xf>
    <xf numFmtId="3" fontId="12" fillId="0" borderId="3" xfId="0" applyNumberFormat="1" applyFont="1" applyBorder="1" applyProtection="1">
      <protection locked="0"/>
    </xf>
    <xf numFmtId="6" fontId="12" fillId="0" borderId="3" xfId="0" applyNumberFormat="1" applyFont="1" applyBorder="1" applyProtection="1">
      <protection locked="0"/>
    </xf>
    <xf numFmtId="0" fontId="12" fillId="0" borderId="6" xfId="0" applyFont="1" applyBorder="1" applyAlignment="1" applyProtection="1">
      <alignment horizontal="center"/>
      <protection locked="0"/>
    </xf>
    <xf numFmtId="3" fontId="12" fillId="0" borderId="6" xfId="0" applyNumberFormat="1" applyFont="1" applyBorder="1" applyAlignment="1" applyProtection="1">
      <alignment horizontal="center"/>
      <protection locked="0"/>
    </xf>
    <xf numFmtId="6" fontId="12" fillId="0" borderId="6" xfId="0" applyNumberFormat="1" applyFont="1" applyBorder="1" applyAlignment="1" applyProtection="1">
      <alignment horizontal="center"/>
      <protection locked="0"/>
    </xf>
    <xf numFmtId="3" fontId="12" fillId="0" borderId="0" xfId="0" applyNumberFormat="1" applyFont="1" applyAlignment="1" applyProtection="1">
      <alignment horizontal="center"/>
      <protection locked="0"/>
    </xf>
    <xf numFmtId="6" fontId="12" fillId="0" borderId="0" xfId="0" applyNumberFormat="1" applyFont="1" applyAlignment="1" applyProtection="1">
      <alignment horizontal="center"/>
      <protection locked="0"/>
    </xf>
    <xf numFmtId="12" fontId="12" fillId="21" borderId="3" xfId="0" applyNumberFormat="1" applyFont="1" applyFill="1" applyBorder="1" applyAlignment="1">
      <alignment horizontal="center"/>
    </xf>
    <xf numFmtId="0" fontId="12" fillId="25" borderId="3" xfId="0" applyFont="1" applyFill="1" applyBorder="1" applyAlignment="1">
      <alignment horizontal="center"/>
    </xf>
    <xf numFmtId="0" fontId="12" fillId="25" borderId="3" xfId="0" applyFont="1" applyFill="1" applyBorder="1" applyAlignment="1">
      <alignment horizontal="left"/>
    </xf>
    <xf numFmtId="0" fontId="12" fillId="25" borderId="3" xfId="0" applyFont="1" applyFill="1" applyBorder="1" applyAlignment="1" applyProtection="1">
      <alignment horizontal="center"/>
      <protection hidden="1"/>
    </xf>
    <xf numFmtId="3" fontId="12" fillId="25" borderId="3" xfId="0" applyNumberFormat="1" applyFont="1" applyFill="1" applyBorder="1" applyAlignment="1" applyProtection="1">
      <alignment horizontal="center"/>
      <protection hidden="1"/>
    </xf>
    <xf numFmtId="6" fontId="12" fillId="25" borderId="3" xfId="0" applyNumberFormat="1" applyFont="1" applyFill="1" applyBorder="1" applyAlignment="1" applyProtection="1">
      <alignment horizontal="center"/>
      <protection hidden="1"/>
    </xf>
    <xf numFmtId="6" fontId="12" fillId="7" borderId="3" xfId="0" applyNumberFormat="1" applyFont="1" applyFill="1" applyBorder="1" applyAlignment="1" applyProtection="1">
      <alignment horizontal="center"/>
      <protection hidden="1"/>
    </xf>
    <xf numFmtId="6" fontId="12" fillId="0" borderId="3" xfId="0" applyNumberFormat="1" applyFont="1" applyBorder="1" applyAlignment="1" applyProtection="1">
      <alignment horizontal="center"/>
      <protection hidden="1"/>
    </xf>
    <xf numFmtId="0" fontId="12" fillId="25" borderId="3" xfId="0" applyFont="1" applyFill="1" applyBorder="1"/>
    <xf numFmtId="6" fontId="12" fillId="25" borderId="3" xfId="0" applyNumberFormat="1" applyFont="1" applyFill="1" applyBorder="1" applyAlignment="1">
      <alignment horizontal="center"/>
    </xf>
    <xf numFmtId="3" fontId="12" fillId="25" borderId="3" xfId="0" applyNumberFormat="1" applyFont="1" applyFill="1" applyBorder="1" applyAlignment="1">
      <alignment horizontal="center"/>
    </xf>
    <xf numFmtId="3" fontId="0" fillId="0" borderId="0" xfId="0" applyNumberFormat="1" applyProtection="1">
      <protection locked="0"/>
    </xf>
    <xf numFmtId="0" fontId="12" fillId="25" borderId="7" xfId="0" applyFont="1" applyFill="1" applyBorder="1" applyAlignment="1">
      <alignment horizontal="center"/>
    </xf>
    <xf numFmtId="0" fontId="12" fillId="0" borderId="0" xfId="0" applyFont="1" applyProtection="1">
      <protection hidden="1"/>
    </xf>
    <xf numFmtId="0" fontId="12" fillId="0" borderId="3" xfId="0" applyFont="1" applyBorder="1" applyAlignment="1" applyProtection="1">
      <alignment horizontal="center"/>
      <protection hidden="1"/>
    </xf>
    <xf numFmtId="0" fontId="12" fillId="25" borderId="7" xfId="0" applyFont="1" applyFill="1" applyBorder="1" applyAlignment="1">
      <alignment horizontal="center" vertical="center"/>
    </xf>
    <xf numFmtId="0" fontId="12" fillId="25" borderId="3" xfId="0" applyFont="1" applyFill="1" applyBorder="1" applyAlignment="1">
      <alignment horizontal="center" vertical="center"/>
    </xf>
    <xf numFmtId="0" fontId="12" fillId="25" borderId="3" xfId="0" applyFont="1" applyFill="1" applyBorder="1" applyAlignment="1">
      <alignment horizontal="center" vertical="center" wrapText="1"/>
    </xf>
    <xf numFmtId="6" fontId="19" fillId="22" borderId="3" xfId="0" applyNumberFormat="1" applyFont="1" applyFill="1" applyBorder="1" applyAlignment="1" applyProtection="1">
      <alignment horizontal="center"/>
      <protection hidden="1"/>
    </xf>
    <xf numFmtId="0" fontId="12" fillId="21" borderId="3" xfId="0" applyFont="1" applyFill="1" applyBorder="1" applyProtection="1">
      <protection hidden="1"/>
    </xf>
    <xf numFmtId="6" fontId="11" fillId="21" borderId="3" xfId="0" applyNumberFormat="1" applyFont="1" applyFill="1" applyBorder="1" applyAlignment="1" applyProtection="1">
      <alignment horizontal="center"/>
      <protection hidden="1"/>
    </xf>
    <xf numFmtId="10" fontId="12" fillId="25" borderId="0" xfId="0" applyNumberFormat="1" applyFont="1" applyFill="1" applyAlignment="1" applyProtection="1">
      <alignment horizontal="center"/>
      <protection hidden="1"/>
    </xf>
    <xf numFmtId="3" fontId="19" fillId="22" borderId="3" xfId="0" applyNumberFormat="1" applyFont="1" applyFill="1" applyBorder="1" applyAlignment="1" applyProtection="1">
      <alignment horizontal="center"/>
      <protection hidden="1"/>
    </xf>
    <xf numFmtId="3" fontId="12" fillId="25" borderId="0" xfId="0" applyNumberFormat="1" applyFont="1" applyFill="1" applyAlignment="1" applyProtection="1">
      <alignment horizontal="center"/>
      <protection hidden="1"/>
    </xf>
    <xf numFmtId="0" fontId="13" fillId="5" borderId="3" xfId="0" applyFont="1" applyFill="1" applyBorder="1" applyAlignment="1">
      <alignment horizontal="center"/>
    </xf>
    <xf numFmtId="0" fontId="11" fillId="25" borderId="3" xfId="0" applyFont="1" applyFill="1" applyBorder="1" applyAlignment="1">
      <alignment horizontal="center"/>
    </xf>
    <xf numFmtId="0" fontId="12" fillId="26" borderId="3" xfId="0" applyFont="1" applyFill="1" applyBorder="1" applyAlignment="1" applyProtection="1">
      <alignment horizontal="center"/>
      <protection hidden="1"/>
    </xf>
    <xf numFmtId="0" fontId="12" fillId="21" borderId="3" xfId="0" applyFont="1" applyFill="1" applyBorder="1" applyAlignment="1">
      <alignment horizontal="center"/>
    </xf>
    <xf numFmtId="0" fontId="20" fillId="0" borderId="0" xfId="0" applyFont="1" applyAlignment="1" applyProtection="1">
      <alignment horizontal="center"/>
      <protection hidden="1"/>
    </xf>
    <xf numFmtId="0" fontId="22" fillId="0" borderId="0" xfId="0" applyFont="1" applyAlignment="1">
      <alignment horizontal="center"/>
    </xf>
    <xf numFmtId="0" fontId="19" fillId="0" borderId="0" xfId="0" applyFont="1" applyAlignment="1">
      <alignment horizontal="center"/>
    </xf>
    <xf numFmtId="6" fontId="19" fillId="0" borderId="0" xfId="0" applyNumberFormat="1" applyFont="1" applyAlignment="1" applyProtection="1">
      <alignment horizontal="center"/>
      <protection hidden="1"/>
    </xf>
    <xf numFmtId="0" fontId="6" fillId="0" borderId="0" xfId="0" applyFont="1" applyAlignment="1" applyProtection="1">
      <alignment horizontal="center"/>
      <protection hidden="1"/>
    </xf>
    <xf numFmtId="0" fontId="26" fillId="0" borderId="0" xfId="0" applyFont="1"/>
    <xf numFmtId="0" fontId="28" fillId="0" borderId="3" xfId="0" applyFont="1" applyBorder="1" applyAlignment="1">
      <alignment horizontal="center" vertical="center" wrapText="1"/>
    </xf>
    <xf numFmtId="0" fontId="26" fillId="15" borderId="3" xfId="0" applyFont="1" applyFill="1" applyBorder="1"/>
    <xf numFmtId="0" fontId="26" fillId="15" borderId="3" xfId="0" applyFont="1" applyFill="1" applyBorder="1" applyProtection="1">
      <protection hidden="1"/>
    </xf>
    <xf numFmtId="10" fontId="26" fillId="15" borderId="3" xfId="0" applyNumberFormat="1" applyFont="1" applyFill="1" applyBorder="1" applyAlignment="1" applyProtection="1">
      <alignment horizontal="center" wrapText="1"/>
      <protection hidden="1"/>
    </xf>
    <xf numFmtId="9" fontId="26" fillId="15" borderId="3" xfId="0" applyNumberFormat="1" applyFont="1" applyFill="1" applyBorder="1" applyAlignment="1" applyProtection="1">
      <alignment horizontal="center" wrapText="1"/>
      <protection hidden="1"/>
    </xf>
    <xf numFmtId="0" fontId="26" fillId="15" borderId="3" xfId="0" applyFont="1" applyFill="1" applyBorder="1" applyAlignment="1">
      <alignment horizontal="center"/>
    </xf>
    <xf numFmtId="0" fontId="28" fillId="8" borderId="3" xfId="0" applyFont="1" applyFill="1" applyBorder="1" applyProtection="1">
      <protection locked="0"/>
    </xf>
    <xf numFmtId="3" fontId="28" fillId="8" borderId="3" xfId="0" applyNumberFormat="1" applyFont="1" applyFill="1" applyBorder="1" applyProtection="1">
      <protection locked="0"/>
    </xf>
    <xf numFmtId="3" fontId="26" fillId="15" borderId="3" xfId="0" applyNumberFormat="1" applyFont="1" applyFill="1" applyBorder="1" applyProtection="1">
      <protection hidden="1"/>
    </xf>
    <xf numFmtId="0" fontId="26" fillId="0" borderId="3" xfId="0" applyFont="1" applyBorder="1" applyAlignment="1">
      <alignment horizontal="center"/>
    </xf>
    <xf numFmtId="0" fontId="26" fillId="0" borderId="3" xfId="0" applyFont="1" applyBorder="1"/>
    <xf numFmtId="3" fontId="26" fillId="15" borderId="3" xfId="0" applyNumberFormat="1" applyFont="1" applyFill="1" applyBorder="1" applyAlignment="1" applyProtection="1">
      <alignment horizontal="center"/>
      <protection hidden="1"/>
    </xf>
    <xf numFmtId="0" fontId="28" fillId="0" borderId="20" xfId="0" applyFont="1" applyBorder="1" applyAlignment="1">
      <alignment horizontal="center"/>
    </xf>
    <xf numFmtId="0" fontId="28" fillId="0" borderId="21" xfId="0" applyFont="1" applyBorder="1" applyAlignment="1">
      <alignment horizontal="center"/>
    </xf>
    <xf numFmtId="0" fontId="28" fillId="0" borderId="22" xfId="0" applyFont="1" applyBorder="1" applyAlignment="1">
      <alignment horizontal="center"/>
    </xf>
    <xf numFmtId="0" fontId="26" fillId="15" borderId="24" xfId="0" applyFont="1" applyFill="1" applyBorder="1" applyAlignment="1">
      <alignment horizontal="center"/>
    </xf>
    <xf numFmtId="0" fontId="28" fillId="8" borderId="4" xfId="0" applyFont="1" applyFill="1" applyBorder="1" applyProtection="1">
      <protection locked="0"/>
    </xf>
    <xf numFmtId="3" fontId="28" fillId="8" borderId="4" xfId="0" applyNumberFormat="1" applyFont="1" applyFill="1" applyBorder="1" applyProtection="1">
      <protection locked="0"/>
    </xf>
    <xf numFmtId="3" fontId="26" fillId="15" borderId="26" xfId="0" applyNumberFormat="1" applyFont="1" applyFill="1" applyBorder="1" applyAlignment="1" applyProtection="1">
      <alignment horizontal="center" wrapText="1"/>
      <protection hidden="1"/>
    </xf>
    <xf numFmtId="0" fontId="26" fillId="15" borderId="10" xfId="0" applyFont="1" applyFill="1" applyBorder="1" applyAlignment="1">
      <alignment horizontal="center"/>
    </xf>
    <xf numFmtId="0" fontId="26" fillId="15" borderId="10" xfId="0" applyFont="1" applyFill="1" applyBorder="1"/>
    <xf numFmtId="0" fontId="26" fillId="15" borderId="12" xfId="0" applyFont="1" applyFill="1" applyBorder="1"/>
    <xf numFmtId="0" fontId="28" fillId="0" borderId="0" xfId="0" applyFont="1" applyProtection="1">
      <protection locked="0"/>
    </xf>
    <xf numFmtId="0" fontId="26" fillId="0" borderId="3" xfId="0" applyFont="1" applyBorder="1" applyProtection="1">
      <protection hidden="1"/>
    </xf>
    <xf numFmtId="10" fontId="26" fillId="0" borderId="3" xfId="0" applyNumberFormat="1" applyFont="1" applyBorder="1" applyAlignment="1" applyProtection="1">
      <alignment horizontal="center" wrapText="1"/>
      <protection hidden="1"/>
    </xf>
    <xf numFmtId="9" fontId="26" fillId="0" borderId="3" xfId="0" applyNumberFormat="1" applyFont="1" applyBorder="1" applyAlignment="1" applyProtection="1">
      <alignment horizontal="center" wrapText="1"/>
      <protection hidden="1"/>
    </xf>
    <xf numFmtId="3" fontId="26" fillId="0" borderId="3" xfId="0" applyNumberFormat="1" applyFont="1" applyBorder="1" applyProtection="1">
      <protection hidden="1"/>
    </xf>
    <xf numFmtId="0" fontId="31" fillId="15" borderId="10" xfId="0" applyFont="1" applyFill="1" applyBorder="1" applyAlignment="1">
      <alignment horizontal="center"/>
    </xf>
    <xf numFmtId="3" fontId="26" fillId="15" borderId="11" xfId="0" applyNumberFormat="1" applyFont="1" applyFill="1" applyBorder="1" applyProtection="1">
      <protection hidden="1"/>
    </xf>
    <xf numFmtId="0" fontId="28" fillId="8" borderId="10" xfId="0" applyFont="1" applyFill="1" applyBorder="1" applyProtection="1">
      <protection locked="0"/>
    </xf>
    <xf numFmtId="165" fontId="28" fillId="8" borderId="3" xfId="0" applyNumberFormat="1" applyFont="1" applyFill="1" applyBorder="1" applyProtection="1">
      <protection locked="0"/>
    </xf>
    <xf numFmtId="165" fontId="26" fillId="15" borderId="11" xfId="0" applyNumberFormat="1" applyFont="1" applyFill="1" applyBorder="1" applyProtection="1">
      <protection hidden="1"/>
    </xf>
    <xf numFmtId="0" fontId="26" fillId="6" borderId="10" xfId="0" applyFont="1" applyFill="1" applyBorder="1" applyAlignment="1">
      <alignment horizontal="center" vertical="center" wrapText="1"/>
    </xf>
    <xf numFmtId="3" fontId="26" fillId="0" borderId="3" xfId="0" applyNumberFormat="1" applyFont="1" applyBorder="1" applyProtection="1">
      <protection locked="0"/>
    </xf>
    <xf numFmtId="0" fontId="26" fillId="6" borderId="10" xfId="0" applyFont="1" applyFill="1" applyBorder="1" applyAlignment="1">
      <alignment horizontal="left" vertical="center" indent="1"/>
    </xf>
    <xf numFmtId="0" fontId="26" fillId="6" borderId="10" xfId="0" applyFont="1" applyFill="1" applyBorder="1" applyAlignment="1">
      <alignment horizontal="left" wrapText="1" indent="1"/>
    </xf>
    <xf numFmtId="0" fontId="26" fillId="6" borderId="10" xfId="0" applyFont="1" applyFill="1" applyBorder="1" applyAlignment="1">
      <alignment horizontal="left" indent="1"/>
    </xf>
    <xf numFmtId="0" fontId="28" fillId="6" borderId="12" xfId="0" applyFont="1" applyFill="1" applyBorder="1" applyAlignment="1">
      <alignment horizontal="center" vertical="center"/>
    </xf>
    <xf numFmtId="0" fontId="26" fillId="0" borderId="30" xfId="0" applyFont="1" applyBorder="1"/>
    <xf numFmtId="0" fontId="26" fillId="0" borderId="31" xfId="0" applyFont="1" applyBorder="1"/>
    <xf numFmtId="0" fontId="26" fillId="0" borderId="34" xfId="0" applyFont="1" applyBorder="1"/>
    <xf numFmtId="165" fontId="26" fillId="0" borderId="35" xfId="0" applyNumberFormat="1" applyFont="1" applyBorder="1"/>
    <xf numFmtId="0" fontId="26" fillId="6" borderId="35" xfId="0" applyFont="1" applyFill="1" applyBorder="1" applyProtection="1">
      <protection locked="0"/>
    </xf>
    <xf numFmtId="166" fontId="28" fillId="0" borderId="3" xfId="0" applyNumberFormat="1" applyFont="1" applyBorder="1" applyProtection="1">
      <protection hidden="1"/>
    </xf>
    <xf numFmtId="165" fontId="26" fillId="6" borderId="15" xfId="0" applyNumberFormat="1" applyFont="1" applyFill="1" applyBorder="1" applyProtection="1">
      <protection locked="0"/>
    </xf>
    <xf numFmtId="166" fontId="26" fillId="0" borderId="4" xfId="0" applyNumberFormat="1" applyFont="1" applyBorder="1" applyProtection="1">
      <protection hidden="1"/>
    </xf>
    <xf numFmtId="0" fontId="28" fillId="16" borderId="30" xfId="0" applyFont="1" applyFill="1" applyBorder="1" applyAlignment="1">
      <alignment horizontal="center"/>
    </xf>
    <xf numFmtId="0" fontId="28" fillId="16" borderId="31" xfId="0" applyFont="1" applyFill="1" applyBorder="1" applyAlignment="1">
      <alignment horizontal="center"/>
    </xf>
    <xf numFmtId="0" fontId="28" fillId="16" borderId="32" xfId="0" applyFont="1" applyFill="1" applyBorder="1" applyAlignment="1">
      <alignment horizontal="center"/>
    </xf>
    <xf numFmtId="165" fontId="26" fillId="0" borderId="3" xfId="0" applyNumberFormat="1" applyFont="1" applyBorder="1" applyProtection="1">
      <protection hidden="1"/>
    </xf>
    <xf numFmtId="165" fontId="26" fillId="0" borderId="11" xfId="0" applyNumberFormat="1" applyFont="1" applyBorder="1" applyProtection="1">
      <protection hidden="1"/>
    </xf>
    <xf numFmtId="169" fontId="26" fillId="6" borderId="3" xfId="0" applyNumberFormat="1" applyFont="1" applyFill="1" applyBorder="1" applyAlignment="1" applyProtection="1">
      <alignment horizontal="center"/>
      <protection locked="0"/>
    </xf>
    <xf numFmtId="10" fontId="26" fillId="0" borderId="3" xfId="0" applyNumberFormat="1" applyFont="1" applyBorder="1" applyAlignment="1" applyProtection="1">
      <alignment horizontal="center"/>
      <protection hidden="1"/>
    </xf>
    <xf numFmtId="0" fontId="28" fillId="17" borderId="10" xfId="0" applyFont="1" applyFill="1" applyBorder="1"/>
    <xf numFmtId="0" fontId="31" fillId="15" borderId="34" xfId="0" applyFont="1" applyFill="1" applyBorder="1"/>
    <xf numFmtId="0" fontId="29" fillId="20" borderId="3" xfId="0" applyFont="1" applyFill="1" applyBorder="1"/>
    <xf numFmtId="165" fontId="30" fillId="20" borderId="3" xfId="0" applyNumberFormat="1" applyFont="1" applyFill="1" applyBorder="1" applyProtection="1">
      <protection hidden="1"/>
    </xf>
    <xf numFmtId="0" fontId="29" fillId="22" borderId="3" xfId="0" applyFont="1" applyFill="1" applyBorder="1" applyAlignment="1">
      <alignment horizontal="center"/>
    </xf>
    <xf numFmtId="165" fontId="29" fillId="20" borderId="3" xfId="0" applyNumberFormat="1" applyFont="1" applyFill="1" applyBorder="1" applyProtection="1">
      <protection hidden="1"/>
    </xf>
    <xf numFmtId="165" fontId="26" fillId="20" borderId="3" xfId="0" applyNumberFormat="1" applyFont="1" applyFill="1" applyBorder="1" applyProtection="1">
      <protection hidden="1"/>
    </xf>
    <xf numFmtId="0" fontId="29" fillId="20" borderId="3" xfId="0" applyFont="1" applyFill="1" applyBorder="1" applyProtection="1">
      <protection hidden="1"/>
    </xf>
    <xf numFmtId="165" fontId="28" fillId="20" borderId="3" xfId="0" applyNumberFormat="1" applyFont="1" applyFill="1" applyBorder="1" applyProtection="1">
      <protection hidden="1"/>
    </xf>
    <xf numFmtId="165" fontId="28" fillId="20" borderId="11" xfId="0" applyNumberFormat="1" applyFont="1" applyFill="1" applyBorder="1" applyProtection="1">
      <protection hidden="1"/>
    </xf>
    <xf numFmtId="0" fontId="29" fillId="20" borderId="15" xfId="0" applyFont="1" applyFill="1" applyBorder="1"/>
    <xf numFmtId="165" fontId="28" fillId="20" borderId="15" xfId="0" applyNumberFormat="1" applyFont="1" applyFill="1" applyBorder="1" applyProtection="1">
      <protection hidden="1"/>
    </xf>
    <xf numFmtId="0" fontId="26" fillId="20" borderId="13" xfId="0" applyFont="1" applyFill="1" applyBorder="1" applyProtection="1">
      <protection hidden="1"/>
    </xf>
    <xf numFmtId="0" fontId="29" fillId="22" borderId="8" xfId="0" applyFont="1" applyFill="1" applyBorder="1" applyAlignment="1">
      <alignment horizontal="center"/>
    </xf>
    <xf numFmtId="0" fontId="29" fillId="22" borderId="14" xfId="0" applyFont="1" applyFill="1" applyBorder="1" applyAlignment="1">
      <alignment horizontal="center"/>
    </xf>
    <xf numFmtId="0" fontId="29" fillId="22" borderId="9" xfId="0" applyFont="1" applyFill="1" applyBorder="1" applyAlignment="1">
      <alignment horizontal="center"/>
    </xf>
    <xf numFmtId="165" fontId="29" fillId="20" borderId="11" xfId="0" applyNumberFormat="1" applyFont="1" applyFill="1" applyBorder="1" applyProtection="1">
      <protection hidden="1"/>
    </xf>
    <xf numFmtId="165" fontId="29" fillId="20" borderId="15" xfId="0" applyNumberFormat="1" applyFont="1" applyFill="1" applyBorder="1" applyProtection="1">
      <protection hidden="1"/>
    </xf>
    <xf numFmtId="12" fontId="29" fillId="22" borderId="14" xfId="0" applyNumberFormat="1" applyFont="1" applyFill="1" applyBorder="1" applyAlignment="1">
      <alignment horizontal="center" wrapText="1"/>
    </xf>
    <xf numFmtId="3" fontId="26" fillId="20" borderId="3" xfId="0" applyNumberFormat="1" applyFont="1" applyFill="1" applyBorder="1" applyProtection="1">
      <protection locked="0"/>
    </xf>
    <xf numFmtId="165" fontId="29" fillId="20" borderId="40" xfId="0" applyNumberFormat="1" applyFont="1" applyFill="1" applyBorder="1" applyProtection="1">
      <protection hidden="1"/>
    </xf>
    <xf numFmtId="165" fontId="29" fillId="20" borderId="13" xfId="0" applyNumberFormat="1" applyFont="1" applyFill="1" applyBorder="1" applyProtection="1">
      <protection hidden="1"/>
    </xf>
    <xf numFmtId="0" fontId="28" fillId="20" borderId="34" xfId="0" applyFont="1" applyFill="1" applyBorder="1"/>
    <xf numFmtId="165" fontId="29" fillId="20" borderId="15" xfId="0" applyNumberFormat="1" applyFont="1" applyFill="1" applyBorder="1"/>
    <xf numFmtId="0" fontId="26" fillId="21" borderId="8" xfId="0" applyFont="1" applyFill="1" applyBorder="1"/>
    <xf numFmtId="0" fontId="26" fillId="21" borderId="12" xfId="0" applyFont="1" applyFill="1" applyBorder="1"/>
    <xf numFmtId="164" fontId="26" fillId="27" borderId="9" xfId="0" applyNumberFormat="1" applyFont="1" applyFill="1" applyBorder="1" applyProtection="1">
      <protection hidden="1"/>
    </xf>
    <xf numFmtId="164" fontId="26" fillId="27" borderId="13" xfId="0" applyNumberFormat="1" applyFont="1" applyFill="1" applyBorder="1" applyProtection="1">
      <protection hidden="1"/>
    </xf>
    <xf numFmtId="0" fontId="26" fillId="27" borderId="31" xfId="0" applyFont="1" applyFill="1" applyBorder="1" applyAlignment="1">
      <alignment horizontal="center"/>
    </xf>
    <xf numFmtId="0" fontId="26" fillId="27" borderId="32" xfId="0" applyFont="1" applyFill="1" applyBorder="1" applyAlignment="1">
      <alignment horizontal="center"/>
    </xf>
    <xf numFmtId="0" fontId="26" fillId="0" borderId="0" xfId="0" applyFont="1" applyAlignment="1">
      <alignment horizontal="center"/>
    </xf>
    <xf numFmtId="0" fontId="31" fillId="27" borderId="10" xfId="0" applyFont="1" applyFill="1" applyBorder="1" applyAlignment="1">
      <alignment horizontal="center" vertical="center" wrapText="1"/>
    </xf>
    <xf numFmtId="12" fontId="31" fillId="27" borderId="10" xfId="0" applyNumberFormat="1" applyFont="1" applyFill="1" applyBorder="1" applyAlignment="1">
      <alignment horizontal="center" vertical="center" wrapText="1"/>
    </xf>
    <xf numFmtId="12" fontId="31" fillId="27" borderId="12" xfId="0" applyNumberFormat="1" applyFont="1" applyFill="1" applyBorder="1" applyAlignment="1">
      <alignment horizontal="center" vertical="center" wrapText="1"/>
    </xf>
    <xf numFmtId="12" fontId="29" fillId="24" borderId="14" xfId="0" applyNumberFormat="1" applyFont="1" applyFill="1" applyBorder="1" applyAlignment="1">
      <alignment horizontal="center" wrapText="1"/>
    </xf>
    <xf numFmtId="12" fontId="29" fillId="24" borderId="9" xfId="0" applyNumberFormat="1" applyFont="1" applyFill="1" applyBorder="1" applyAlignment="1">
      <alignment horizontal="center" wrapText="1"/>
    </xf>
    <xf numFmtId="0" fontId="29" fillId="24" borderId="8" xfId="0" applyFont="1" applyFill="1" applyBorder="1" applyAlignment="1">
      <alignment horizontal="center"/>
    </xf>
    <xf numFmtId="0" fontId="28" fillId="21" borderId="10" xfId="0" applyFont="1" applyFill="1" applyBorder="1"/>
    <xf numFmtId="0" fontId="31" fillId="28" borderId="10" xfId="0" applyFont="1" applyFill="1" applyBorder="1"/>
    <xf numFmtId="0" fontId="28" fillId="17" borderId="24" xfId="0" applyFont="1" applyFill="1" applyBorder="1" applyAlignment="1">
      <alignment horizontal="left" indent="1"/>
    </xf>
    <xf numFmtId="0" fontId="26" fillId="0" borderId="4" xfId="0" applyFont="1" applyBorder="1" applyAlignment="1">
      <alignment horizontal="center"/>
    </xf>
    <xf numFmtId="0" fontId="26" fillId="0" borderId="4" xfId="0" applyFont="1" applyBorder="1"/>
    <xf numFmtId="0" fontId="32" fillId="6" borderId="4" xfId="0" applyFont="1" applyFill="1" applyBorder="1" applyAlignment="1" applyProtection="1">
      <alignment horizontal="center"/>
      <protection locked="0"/>
    </xf>
    <xf numFmtId="0" fontId="32" fillId="6" borderId="26" xfId="0" applyFont="1" applyFill="1" applyBorder="1" applyAlignment="1" applyProtection="1">
      <alignment horizontal="center"/>
      <protection locked="0"/>
    </xf>
    <xf numFmtId="0" fontId="28" fillId="17" borderId="10" xfId="0" applyFont="1" applyFill="1" applyBorder="1" applyAlignment="1">
      <alignment horizontal="left" indent="1"/>
    </xf>
    <xf numFmtId="0" fontId="26" fillId="0" borderId="3" xfId="0" applyFont="1" applyBorder="1" applyAlignment="1">
      <alignment horizontal="center" wrapText="1"/>
    </xf>
    <xf numFmtId="0" fontId="26" fillId="0" borderId="10" xfId="0" applyFont="1" applyBorder="1" applyAlignment="1">
      <alignment horizontal="left" indent="1"/>
    </xf>
    <xf numFmtId="0" fontId="32" fillId="8" borderId="3" xfId="0" applyFont="1" applyFill="1" applyBorder="1" applyAlignment="1" applyProtection="1">
      <alignment horizontal="center"/>
      <protection locked="0"/>
    </xf>
    <xf numFmtId="0" fontId="32" fillId="8" borderId="11" xfId="0" applyFont="1" applyFill="1" applyBorder="1" applyAlignment="1" applyProtection="1">
      <alignment horizontal="center"/>
      <protection locked="0"/>
    </xf>
    <xf numFmtId="0" fontId="26" fillId="0" borderId="3" xfId="0" applyFont="1" applyBorder="1" applyAlignment="1">
      <alignment horizontal="center" vertical="center"/>
    </xf>
    <xf numFmtId="0" fontId="32" fillId="8" borderId="3" xfId="0" applyFont="1" applyFill="1" applyBorder="1" applyAlignment="1" applyProtection="1">
      <alignment horizontal="center" vertical="center"/>
      <protection locked="0"/>
    </xf>
    <xf numFmtId="0" fontId="32" fillId="8" borderId="11" xfId="0" applyFont="1" applyFill="1" applyBorder="1" applyAlignment="1" applyProtection="1">
      <alignment horizontal="center" vertical="center"/>
      <protection locked="0"/>
    </xf>
    <xf numFmtId="0" fontId="28" fillId="17" borderId="12" xfId="0" applyFont="1" applyFill="1" applyBorder="1" applyAlignment="1">
      <alignment horizontal="left" indent="1"/>
    </xf>
    <xf numFmtId="0" fontId="26" fillId="0" borderId="15" xfId="0" applyFont="1" applyBorder="1" applyAlignment="1">
      <alignment horizontal="center"/>
    </xf>
    <xf numFmtId="0" fontId="29" fillId="11" borderId="8" xfId="0" applyFont="1" applyFill="1" applyBorder="1" applyAlignment="1">
      <alignment horizontal="center"/>
    </xf>
    <xf numFmtId="0" fontId="30" fillId="11" borderId="10" xfId="0" applyFont="1" applyFill="1" applyBorder="1"/>
    <xf numFmtId="0" fontId="31" fillId="18" borderId="10" xfId="0" applyFont="1" applyFill="1" applyBorder="1"/>
    <xf numFmtId="165" fontId="31" fillId="18" borderId="3" xfId="0" applyNumberFormat="1" applyFont="1" applyFill="1" applyBorder="1" applyProtection="1">
      <protection hidden="1"/>
    </xf>
    <xf numFmtId="165" fontId="31" fillId="18" borderId="11" xfId="0" applyNumberFormat="1" applyFont="1" applyFill="1" applyBorder="1" applyProtection="1">
      <protection hidden="1"/>
    </xf>
    <xf numFmtId="0" fontId="29" fillId="11" borderId="10" xfId="0" applyFont="1" applyFill="1" applyBorder="1" applyAlignment="1">
      <alignment horizontal="left" indent="1"/>
    </xf>
    <xf numFmtId="165" fontId="30" fillId="11" borderId="3" xfId="0" applyNumberFormat="1" applyFont="1" applyFill="1" applyBorder="1" applyProtection="1">
      <protection hidden="1"/>
    </xf>
    <xf numFmtId="165" fontId="30" fillId="11" borderId="11" xfId="0" applyNumberFormat="1" applyFont="1" applyFill="1" applyBorder="1" applyProtection="1">
      <protection hidden="1"/>
    </xf>
    <xf numFmtId="0" fontId="26" fillId="15" borderId="0" xfId="0" applyFont="1" applyFill="1"/>
    <xf numFmtId="165" fontId="29" fillId="11" borderId="3" xfId="0" applyNumberFormat="1" applyFont="1" applyFill="1" applyBorder="1" applyProtection="1">
      <protection hidden="1"/>
    </xf>
    <xf numFmtId="0" fontId="28" fillId="15" borderId="10" xfId="0" applyFont="1" applyFill="1" applyBorder="1"/>
    <xf numFmtId="165" fontId="26" fillId="15" borderId="3" xfId="0" applyNumberFormat="1" applyFont="1" applyFill="1" applyBorder="1" applyProtection="1">
      <protection hidden="1"/>
    </xf>
    <xf numFmtId="0" fontId="29" fillId="14" borderId="10" xfId="0" applyFont="1" applyFill="1" applyBorder="1"/>
    <xf numFmtId="165" fontId="29" fillId="14" borderId="3" xfId="0" applyNumberFormat="1" applyFont="1" applyFill="1" applyBorder="1" applyProtection="1">
      <protection hidden="1"/>
    </xf>
    <xf numFmtId="0" fontId="29" fillId="11" borderId="10" xfId="0" applyFont="1" applyFill="1" applyBorder="1"/>
    <xf numFmtId="165" fontId="28" fillId="15" borderId="3" xfId="0" applyNumberFormat="1" applyFont="1" applyFill="1" applyBorder="1" applyProtection="1">
      <protection hidden="1"/>
    </xf>
    <xf numFmtId="0" fontId="29" fillId="11" borderId="12" xfId="0" applyFont="1" applyFill="1" applyBorder="1"/>
    <xf numFmtId="165" fontId="29" fillId="11" borderId="15" xfId="0" applyNumberFormat="1" applyFont="1" applyFill="1" applyBorder="1" applyProtection="1">
      <protection hidden="1"/>
    </xf>
    <xf numFmtId="0" fontId="26" fillId="18" borderId="10" xfId="0" applyFont="1" applyFill="1" applyBorder="1"/>
    <xf numFmtId="165" fontId="26" fillId="18" borderId="3" xfId="0" applyNumberFormat="1" applyFont="1" applyFill="1" applyBorder="1" applyProtection="1">
      <protection hidden="1"/>
    </xf>
    <xf numFmtId="0" fontId="28" fillId="18" borderId="10" xfId="0" applyFont="1" applyFill="1" applyBorder="1"/>
    <xf numFmtId="165" fontId="28" fillId="18" borderId="3" xfId="0" applyNumberFormat="1" applyFont="1" applyFill="1" applyBorder="1" applyProtection="1">
      <protection hidden="1"/>
    </xf>
    <xf numFmtId="165" fontId="28" fillId="18" borderId="11" xfId="0" applyNumberFormat="1" applyFont="1" applyFill="1" applyBorder="1" applyProtection="1">
      <protection hidden="1"/>
    </xf>
    <xf numFmtId="0" fontId="26" fillId="0" borderId="10" xfId="0" applyFont="1" applyBorder="1"/>
    <xf numFmtId="0" fontId="26" fillId="0" borderId="11" xfId="0" applyFont="1" applyBorder="1"/>
    <xf numFmtId="0" fontId="35" fillId="13" borderId="0" xfId="0" applyFont="1" applyFill="1"/>
    <xf numFmtId="165" fontId="35" fillId="13" borderId="0" xfId="0" applyNumberFormat="1" applyFont="1" applyFill="1" applyProtection="1">
      <protection hidden="1"/>
    </xf>
    <xf numFmtId="12" fontId="29" fillId="24" borderId="21" xfId="0" applyNumberFormat="1" applyFont="1" applyFill="1" applyBorder="1" applyAlignment="1" applyProtection="1">
      <alignment horizontal="center" vertical="center" wrapText="1"/>
      <protection hidden="1"/>
    </xf>
    <xf numFmtId="0" fontId="28" fillId="10" borderId="10" xfId="0" applyFont="1" applyFill="1" applyBorder="1"/>
    <xf numFmtId="3" fontId="26" fillId="10" borderId="3" xfId="0" applyNumberFormat="1" applyFont="1" applyFill="1" applyBorder="1" applyAlignment="1" applyProtection="1">
      <alignment horizontal="center" vertical="center"/>
      <protection hidden="1"/>
    </xf>
    <xf numFmtId="0" fontId="26" fillId="10" borderId="10" xfId="0" applyFont="1" applyFill="1" applyBorder="1"/>
    <xf numFmtId="3" fontId="26" fillId="10" borderId="11" xfId="0" applyNumberFormat="1" applyFont="1" applyFill="1" applyBorder="1" applyAlignment="1" applyProtection="1">
      <alignment horizontal="center" vertical="center"/>
      <protection hidden="1"/>
    </xf>
    <xf numFmtId="0" fontId="29" fillId="0" borderId="0" xfId="0" applyFont="1"/>
    <xf numFmtId="0" fontId="37" fillId="0" borderId="0" xfId="0" applyFont="1"/>
    <xf numFmtId="167" fontId="37" fillId="0" borderId="0" xfId="5" applyNumberFormat="1" applyFont="1" applyFill="1"/>
    <xf numFmtId="0" fontId="38" fillId="22" borderId="8" xfId="0" applyFont="1" applyFill="1" applyBorder="1" applyAlignment="1">
      <alignment horizontal="center" vertical="center" wrapText="1"/>
    </xf>
    <xf numFmtId="0" fontId="28" fillId="19" borderId="10" xfId="0" applyFont="1" applyFill="1" applyBorder="1"/>
    <xf numFmtId="0" fontId="28" fillId="19" borderId="12" xfId="0" applyFont="1" applyFill="1" applyBorder="1" applyAlignment="1">
      <alignment horizontal="center"/>
    </xf>
    <xf numFmtId="9" fontId="26" fillId="21" borderId="11" xfId="0" applyNumberFormat="1" applyFont="1" applyFill="1" applyBorder="1" applyAlignment="1" applyProtection="1">
      <alignment horizontal="center"/>
      <protection locked="0"/>
    </xf>
    <xf numFmtId="0" fontId="29" fillId="11" borderId="10" xfId="0" applyFont="1" applyFill="1" applyBorder="1" applyAlignment="1">
      <alignment horizontal="left"/>
    </xf>
    <xf numFmtId="12" fontId="29" fillId="24" borderId="3" xfId="0" applyNumberFormat="1" applyFont="1" applyFill="1" applyBorder="1" applyAlignment="1" applyProtection="1">
      <alignment horizontal="center" vertical="center" wrapText="1"/>
      <protection hidden="1"/>
    </xf>
    <xf numFmtId="12" fontId="29" fillId="24" borderId="14" xfId="0" applyNumberFormat="1" applyFont="1" applyFill="1" applyBorder="1" applyAlignment="1" applyProtection="1">
      <alignment horizontal="center" vertical="center" wrapText="1"/>
      <protection hidden="1"/>
    </xf>
    <xf numFmtId="0" fontId="28" fillId="10" borderId="10" xfId="0" applyFont="1" applyFill="1" applyBorder="1" applyAlignment="1">
      <alignment horizontal="left" indent="1"/>
    </xf>
    <xf numFmtId="0" fontId="28" fillId="18" borderId="12" xfId="0" applyFont="1" applyFill="1" applyBorder="1"/>
    <xf numFmtId="0" fontId="26" fillId="10" borderId="10" xfId="0" applyFont="1" applyFill="1" applyBorder="1" applyAlignment="1">
      <alignment horizontal="left" indent="1"/>
    </xf>
    <xf numFmtId="0" fontId="26" fillId="10" borderId="8" xfId="0" applyFont="1" applyFill="1" applyBorder="1" applyAlignment="1">
      <alignment horizontal="left" indent="1"/>
    </xf>
    <xf numFmtId="0" fontId="26" fillId="18" borderId="12" xfId="0" applyFont="1" applyFill="1" applyBorder="1"/>
    <xf numFmtId="0" fontId="38" fillId="22" borderId="10" xfId="0" applyFont="1" applyFill="1" applyBorder="1" applyAlignment="1">
      <alignment horizontal="center" vertical="center"/>
    </xf>
    <xf numFmtId="12" fontId="38" fillId="24" borderId="3" xfId="0" applyNumberFormat="1" applyFont="1" applyFill="1" applyBorder="1" applyAlignment="1" applyProtection="1">
      <alignment horizontal="center" vertical="center" wrapText="1"/>
      <protection hidden="1"/>
    </xf>
    <xf numFmtId="0" fontId="38" fillId="22" borderId="8" xfId="0" applyFont="1" applyFill="1" applyBorder="1" applyAlignment="1">
      <alignment horizontal="center" vertical="center"/>
    </xf>
    <xf numFmtId="12" fontId="38" fillId="24" borderId="14" xfId="0" applyNumberFormat="1" applyFont="1" applyFill="1" applyBorder="1" applyAlignment="1" applyProtection="1">
      <alignment horizontal="center" vertical="center" wrapText="1"/>
      <protection hidden="1"/>
    </xf>
    <xf numFmtId="0" fontId="26" fillId="0" borderId="0" xfId="0" applyFont="1" applyProtection="1">
      <protection locked="0"/>
    </xf>
    <xf numFmtId="167" fontId="33" fillId="29" borderId="18" xfId="0" applyNumberFormat="1" applyFont="1" applyFill="1" applyBorder="1" applyAlignment="1" applyProtection="1">
      <alignment horizontal="center"/>
      <protection hidden="1"/>
    </xf>
    <xf numFmtId="167" fontId="28" fillId="0" borderId="15" xfId="0" applyNumberFormat="1" applyFont="1" applyBorder="1" applyProtection="1">
      <protection hidden="1"/>
    </xf>
    <xf numFmtId="167" fontId="26" fillId="0" borderId="9" xfId="0" applyNumberFormat="1" applyFont="1" applyBorder="1" applyProtection="1">
      <protection hidden="1"/>
    </xf>
    <xf numFmtId="10" fontId="39" fillId="15" borderId="45" xfId="4" applyNumberFormat="1" applyFont="1" applyFill="1" applyBorder="1" applyProtection="1">
      <protection hidden="1"/>
    </xf>
    <xf numFmtId="9" fontId="26" fillId="0" borderId="0" xfId="0" applyNumberFormat="1" applyFont="1"/>
    <xf numFmtId="12" fontId="28" fillId="0" borderId="14" xfId="0" applyNumberFormat="1" applyFont="1" applyBorder="1" applyAlignment="1">
      <alignment horizontal="center" vertical="center"/>
    </xf>
    <xf numFmtId="0" fontId="26" fillId="0" borderId="0" xfId="0" applyFont="1" applyProtection="1">
      <protection hidden="1"/>
    </xf>
    <xf numFmtId="0" fontId="28" fillId="0" borderId="8" xfId="0" applyFont="1" applyBorder="1" applyAlignment="1" applyProtection="1">
      <alignment horizontal="center" vertical="center" wrapText="1"/>
      <protection hidden="1"/>
    </xf>
    <xf numFmtId="0" fontId="28" fillId="0" borderId="14" xfId="0" applyFont="1" applyBorder="1" applyAlignment="1" applyProtection="1">
      <alignment horizontal="center" vertical="center" wrapText="1"/>
      <protection hidden="1"/>
    </xf>
    <xf numFmtId="0" fontId="28" fillId="0" borderId="9" xfId="0" applyFont="1" applyBorder="1" applyAlignment="1" applyProtection="1">
      <alignment horizontal="center" vertical="center" wrapText="1"/>
      <protection hidden="1"/>
    </xf>
    <xf numFmtId="0" fontId="28" fillId="0" borderId="29" xfId="0" applyFont="1" applyBorder="1" applyAlignment="1" applyProtection="1">
      <alignment horizontal="center" vertical="center" wrapText="1"/>
      <protection hidden="1"/>
    </xf>
    <xf numFmtId="0" fontId="40" fillId="0" borderId="3" xfId="0" applyFont="1" applyBorder="1" applyAlignment="1" applyProtection="1">
      <alignment horizontal="left" vertical="center" wrapText="1"/>
      <protection hidden="1"/>
    </xf>
    <xf numFmtId="0" fontId="40" fillId="0" borderId="15" xfId="0" applyFont="1" applyBorder="1" applyAlignment="1" applyProtection="1">
      <alignment horizontal="left" wrapText="1"/>
      <protection hidden="1"/>
    </xf>
    <xf numFmtId="0" fontId="28" fillId="0" borderId="20" xfId="0" applyFont="1" applyBorder="1"/>
    <xf numFmtId="0" fontId="29" fillId="24" borderId="14" xfId="0" applyFont="1" applyFill="1" applyBorder="1" applyAlignment="1">
      <alignment horizontal="center"/>
    </xf>
    <xf numFmtId="12" fontId="29" fillId="24" borderId="14" xfId="0" applyNumberFormat="1" applyFont="1" applyFill="1" applyBorder="1" applyAlignment="1" applyProtection="1">
      <alignment horizontal="center" wrapText="1"/>
      <protection hidden="1"/>
    </xf>
    <xf numFmtId="168" fontId="31" fillId="27" borderId="3" xfId="4" applyNumberFormat="1" applyFont="1" applyFill="1" applyBorder="1" applyProtection="1">
      <protection hidden="1"/>
    </xf>
    <xf numFmtId="10" fontId="31" fillId="27" borderId="3" xfId="4" applyNumberFormat="1" applyFont="1" applyFill="1" applyBorder="1" applyProtection="1">
      <protection hidden="1"/>
    </xf>
    <xf numFmtId="10" fontId="31" fillId="27" borderId="15" xfId="4" applyNumberFormat="1" applyFont="1" applyFill="1" applyBorder="1" applyProtection="1">
      <protection hidden="1"/>
    </xf>
    <xf numFmtId="10" fontId="28" fillId="27" borderId="22" xfId="0" applyNumberFormat="1" applyFont="1" applyFill="1" applyBorder="1" applyProtection="1">
      <protection hidden="1"/>
    </xf>
    <xf numFmtId="0" fontId="0" fillId="0" borderId="0" xfId="0" applyAlignment="1" applyProtection="1">
      <alignment horizontal="center"/>
      <protection locked="0"/>
    </xf>
    <xf numFmtId="0" fontId="13" fillId="0" borderId="0" xfId="0" applyFont="1" applyAlignment="1" applyProtection="1">
      <alignment horizontal="center"/>
      <protection locked="0"/>
    </xf>
    <xf numFmtId="0" fontId="16" fillId="30" borderId="3" xfId="0" applyFont="1" applyFill="1" applyBorder="1" applyAlignment="1">
      <alignment horizontal="center" vertical="center" wrapText="1"/>
    </xf>
    <xf numFmtId="0" fontId="0" fillId="0" borderId="0" xfId="0" applyAlignment="1" applyProtection="1">
      <alignment vertical="center"/>
      <protection locked="0"/>
    </xf>
    <xf numFmtId="0" fontId="19" fillId="11" borderId="3" xfId="0" applyFont="1" applyFill="1" applyBorder="1" applyAlignment="1" applyProtection="1">
      <alignment horizontal="center"/>
      <protection hidden="1"/>
    </xf>
    <xf numFmtId="0" fontId="12" fillId="15" borderId="50" xfId="0" applyFont="1" applyFill="1" applyBorder="1" applyAlignment="1" applyProtection="1">
      <alignment horizontal="center"/>
      <protection locked="0"/>
    </xf>
    <xf numFmtId="0" fontId="12" fillId="15" borderId="28" xfId="0" applyFont="1" applyFill="1" applyBorder="1" applyAlignment="1" applyProtection="1">
      <alignment horizontal="center"/>
      <protection locked="0"/>
    </xf>
    <xf numFmtId="6" fontId="12" fillId="15" borderId="44" xfId="0" applyNumberFormat="1" applyFont="1" applyFill="1" applyBorder="1" applyAlignment="1" applyProtection="1">
      <alignment horizontal="center"/>
      <protection locked="0"/>
    </xf>
    <xf numFmtId="0" fontId="12" fillId="15" borderId="48" xfId="0" applyFont="1" applyFill="1" applyBorder="1" applyAlignment="1" applyProtection="1">
      <alignment horizontal="center"/>
      <protection locked="0"/>
    </xf>
    <xf numFmtId="6" fontId="12" fillId="15" borderId="51" xfId="0" applyNumberFormat="1" applyFont="1" applyFill="1" applyBorder="1" applyAlignment="1" applyProtection="1">
      <alignment horizontal="center"/>
      <protection locked="0"/>
    </xf>
    <xf numFmtId="0" fontId="12" fillId="15" borderId="57" xfId="0" applyFont="1" applyFill="1" applyBorder="1" applyAlignment="1" applyProtection="1">
      <alignment horizontal="center"/>
      <protection locked="0"/>
    </xf>
    <xf numFmtId="0" fontId="12" fillId="15" borderId="52" xfId="0" applyFont="1" applyFill="1" applyBorder="1" applyAlignment="1" applyProtection="1">
      <alignment horizontal="center"/>
      <protection locked="0"/>
    </xf>
    <xf numFmtId="6" fontId="12" fillId="15" borderId="47" xfId="0" applyNumberFormat="1" applyFont="1" applyFill="1" applyBorder="1" applyAlignment="1" applyProtection="1">
      <alignment horizontal="center"/>
      <protection locked="0"/>
    </xf>
    <xf numFmtId="0" fontId="12" fillId="5" borderId="3" xfId="0" applyFont="1" applyFill="1" applyBorder="1" applyAlignment="1">
      <alignment horizontal="center" vertical="center"/>
    </xf>
    <xf numFmtId="8" fontId="12" fillId="25" borderId="0" xfId="0" applyNumberFormat="1" applyFont="1" applyFill="1" applyAlignment="1" applyProtection="1">
      <alignment horizontal="center"/>
      <protection hidden="1"/>
    </xf>
    <xf numFmtId="0" fontId="10" fillId="17" borderId="0" xfId="0" applyFont="1" applyFill="1"/>
    <xf numFmtId="0" fontId="16" fillId="9" borderId="0" xfId="0" applyFont="1" applyFill="1" applyAlignment="1">
      <alignment horizontal="center"/>
    </xf>
    <xf numFmtId="0" fontId="20" fillId="17" borderId="0" xfId="0" applyFont="1" applyFill="1"/>
    <xf numFmtId="0" fontId="20" fillId="9" borderId="0" xfId="0" applyFont="1" applyFill="1" applyAlignment="1">
      <alignment vertical="center" wrapText="1"/>
    </xf>
    <xf numFmtId="0" fontId="20" fillId="9" borderId="0" xfId="0" applyFont="1" applyFill="1"/>
    <xf numFmtId="0" fontId="12" fillId="9" borderId="0" xfId="0" applyFont="1" applyFill="1"/>
    <xf numFmtId="0" fontId="20" fillId="17" borderId="41" xfId="0" applyFont="1" applyFill="1" applyBorder="1"/>
    <xf numFmtId="0" fontId="20" fillId="17" borderId="3" xfId="0" applyFont="1" applyFill="1" applyBorder="1" applyAlignment="1">
      <alignment horizontal="center" vertical="center" wrapText="1"/>
    </xf>
    <xf numFmtId="0" fontId="20" fillId="9" borderId="3" xfId="0" applyFont="1" applyFill="1" applyBorder="1" applyAlignment="1">
      <alignment horizontal="center" vertical="center" wrapText="1"/>
    </xf>
    <xf numFmtId="0" fontId="12" fillId="0" borderId="0" xfId="0" applyFont="1" applyAlignment="1" applyProtection="1">
      <alignment horizontal="center" vertical="center"/>
      <protection locked="0"/>
    </xf>
    <xf numFmtId="6" fontId="12" fillId="15" borderId="44" xfId="0" applyNumberFormat="1" applyFont="1" applyFill="1" applyBorder="1" applyAlignment="1" applyProtection="1">
      <alignment horizontal="center" vertical="center"/>
      <protection locked="0"/>
    </xf>
    <xf numFmtId="6" fontId="12" fillId="15" borderId="51" xfId="0" applyNumberFormat="1" applyFont="1" applyFill="1" applyBorder="1" applyAlignment="1" applyProtection="1">
      <alignment horizontal="center" vertical="center"/>
      <protection locked="0"/>
    </xf>
    <xf numFmtId="6" fontId="12" fillId="15" borderId="47" xfId="0" applyNumberFormat="1" applyFont="1" applyFill="1" applyBorder="1" applyAlignment="1" applyProtection="1">
      <alignment horizontal="center" vertical="center"/>
      <protection locked="0"/>
    </xf>
    <xf numFmtId="0" fontId="12" fillId="0" borderId="0" xfId="0" applyFont="1" applyAlignment="1">
      <alignment horizontal="center" vertical="center"/>
    </xf>
    <xf numFmtId="0" fontId="20" fillId="17" borderId="0" xfId="0" applyFont="1" applyFill="1" applyProtection="1">
      <protection hidden="1"/>
    </xf>
    <xf numFmtId="0" fontId="20" fillId="9" borderId="0" xfId="0" applyFont="1" applyFill="1" applyProtection="1">
      <protection hidden="1"/>
    </xf>
    <xf numFmtId="0" fontId="20" fillId="17" borderId="3" xfId="0" applyFont="1" applyFill="1" applyBorder="1" applyAlignment="1" applyProtection="1">
      <alignment horizontal="center" vertical="center" wrapText="1"/>
      <protection hidden="1"/>
    </xf>
    <xf numFmtId="0" fontId="20" fillId="9" borderId="3" xfId="0" applyFont="1" applyFill="1" applyBorder="1" applyAlignment="1" applyProtection="1">
      <alignment horizontal="center" vertical="center" wrapText="1"/>
      <protection hidden="1"/>
    </xf>
    <xf numFmtId="0" fontId="12" fillId="25" borderId="0" xfId="0" applyFont="1" applyFill="1" applyAlignment="1" applyProtection="1">
      <alignment horizontal="center" vertical="center"/>
      <protection hidden="1"/>
    </xf>
    <xf numFmtId="0" fontId="19" fillId="5" borderId="3" xfId="0" applyFont="1" applyFill="1" applyBorder="1" applyAlignment="1" applyProtection="1">
      <alignment horizontal="center"/>
      <protection hidden="1"/>
    </xf>
    <xf numFmtId="0" fontId="20" fillId="17" borderId="49" xfId="0" applyFont="1" applyFill="1" applyBorder="1" applyProtection="1">
      <protection hidden="1"/>
    </xf>
    <xf numFmtId="0" fontId="20" fillId="17" borderId="0" xfId="0" applyFont="1" applyFill="1" applyAlignment="1" applyProtection="1">
      <alignment vertical="center"/>
      <protection hidden="1"/>
    </xf>
    <xf numFmtId="0" fontId="19" fillId="24" borderId="3" xfId="0" applyFont="1" applyFill="1" applyBorder="1" applyAlignment="1" applyProtection="1">
      <alignment horizontal="center"/>
      <protection hidden="1"/>
    </xf>
    <xf numFmtId="8" fontId="12" fillId="0" borderId="0" xfId="0" applyNumberFormat="1" applyFont="1" applyAlignment="1" applyProtection="1">
      <alignment horizontal="center"/>
      <protection locked="0"/>
    </xf>
    <xf numFmtId="0" fontId="0" fillId="0" borderId="0" xfId="0" applyAlignment="1" applyProtection="1">
      <alignment vertical="center"/>
      <protection hidden="1"/>
    </xf>
    <xf numFmtId="8" fontId="12" fillId="0" borderId="0" xfId="0" applyNumberFormat="1" applyFont="1" applyAlignment="1" applyProtection="1">
      <alignment horizontal="center"/>
      <protection hidden="1"/>
    </xf>
    <xf numFmtId="8" fontId="12" fillId="25" borderId="0" xfId="0" applyNumberFormat="1" applyFont="1" applyFill="1" applyAlignment="1" applyProtection="1">
      <alignment horizontal="center" vertical="center"/>
      <protection hidden="1"/>
    </xf>
    <xf numFmtId="0" fontId="20" fillId="9" borderId="5" xfId="0" applyFont="1" applyFill="1" applyBorder="1" applyAlignment="1" applyProtection="1">
      <alignment horizontal="center" vertical="center" wrapText="1"/>
      <protection hidden="1"/>
    </xf>
    <xf numFmtId="8" fontId="12" fillId="25" borderId="3" xfId="0" applyNumberFormat="1" applyFont="1" applyFill="1" applyBorder="1" applyAlignment="1" applyProtection="1">
      <alignment horizontal="center"/>
      <protection hidden="1"/>
    </xf>
    <xf numFmtId="0" fontId="12" fillId="25" borderId="6" xfId="0" applyFont="1" applyFill="1" applyBorder="1" applyAlignment="1" applyProtection="1">
      <alignment horizontal="center"/>
      <protection hidden="1"/>
    </xf>
    <xf numFmtId="8" fontId="12" fillId="25" borderId="6" xfId="0" applyNumberFormat="1" applyFont="1" applyFill="1" applyBorder="1" applyAlignment="1" applyProtection="1">
      <alignment horizontal="center"/>
      <protection hidden="1"/>
    </xf>
    <xf numFmtId="0" fontId="12" fillId="21" borderId="20" xfId="0" applyFont="1" applyFill="1" applyBorder="1" applyAlignment="1" applyProtection="1">
      <alignment horizontal="center"/>
      <protection hidden="1"/>
    </xf>
    <xf numFmtId="8" fontId="12" fillId="21" borderId="21" xfId="0" applyNumberFormat="1" applyFont="1" applyFill="1" applyBorder="1" applyAlignment="1" applyProtection="1">
      <alignment horizontal="center"/>
      <protection hidden="1"/>
    </xf>
    <xf numFmtId="0" fontId="12" fillId="15" borderId="0" xfId="0" applyFont="1" applyFill="1" applyAlignment="1">
      <alignment horizontal="center" vertical="center"/>
    </xf>
    <xf numFmtId="0" fontId="19" fillId="24" borderId="0" xfId="0" applyFont="1" applyFill="1" applyAlignment="1">
      <alignment horizontal="center" vertical="center"/>
    </xf>
    <xf numFmtId="6" fontId="12" fillId="25" borderId="0" xfId="0" applyNumberFormat="1" applyFont="1" applyFill="1" applyAlignment="1" applyProtection="1">
      <alignment horizontal="center" vertical="center"/>
      <protection hidden="1"/>
    </xf>
    <xf numFmtId="0" fontId="12" fillId="5" borderId="0" xfId="0" applyFont="1" applyFill="1" applyAlignment="1" applyProtection="1">
      <alignment horizontal="center"/>
      <protection locked="0"/>
    </xf>
    <xf numFmtId="165" fontId="26" fillId="28" borderId="3" xfId="0" applyNumberFormat="1" applyFont="1" applyFill="1" applyBorder="1" applyProtection="1">
      <protection hidden="1"/>
    </xf>
    <xf numFmtId="165" fontId="26" fillId="28" borderId="11" xfId="0" applyNumberFormat="1" applyFont="1" applyFill="1" applyBorder="1" applyProtection="1">
      <protection hidden="1"/>
    </xf>
    <xf numFmtId="165" fontId="26" fillId="23" borderId="3" xfId="0" applyNumberFormat="1" applyFont="1" applyFill="1" applyBorder="1" applyProtection="1">
      <protection hidden="1"/>
    </xf>
    <xf numFmtId="165" fontId="26" fillId="23" borderId="11" xfId="0" applyNumberFormat="1" applyFont="1" applyFill="1" applyBorder="1" applyProtection="1">
      <protection hidden="1"/>
    </xf>
    <xf numFmtId="165" fontId="26" fillId="21" borderId="3" xfId="0" applyNumberFormat="1" applyFont="1" applyFill="1" applyBorder="1" applyProtection="1">
      <protection hidden="1"/>
    </xf>
    <xf numFmtId="165" fontId="26" fillId="21" borderId="11" xfId="0" applyNumberFormat="1" applyFont="1" applyFill="1" applyBorder="1" applyProtection="1">
      <protection hidden="1"/>
    </xf>
    <xf numFmtId="165" fontId="31" fillId="15" borderId="35" xfId="0" applyNumberFormat="1" applyFont="1" applyFill="1" applyBorder="1" applyProtection="1">
      <protection hidden="1"/>
    </xf>
    <xf numFmtId="165" fontId="31" fillId="15" borderId="45" xfId="0" applyNumberFormat="1" applyFont="1" applyFill="1" applyBorder="1" applyProtection="1">
      <protection hidden="1"/>
    </xf>
    <xf numFmtId="6" fontId="26" fillId="15" borderId="3" xfId="0" applyNumberFormat="1" applyFont="1" applyFill="1" applyBorder="1" applyAlignment="1" applyProtection="1">
      <alignment horizontal="center"/>
      <protection hidden="1"/>
    </xf>
    <xf numFmtId="6" fontId="26" fillId="0" borderId="3" xfId="0" applyNumberFormat="1" applyFont="1" applyBorder="1" applyAlignment="1">
      <alignment horizontal="center" wrapText="1"/>
    </xf>
    <xf numFmtId="6" fontId="26" fillId="0" borderId="3" xfId="0" applyNumberFormat="1" applyFont="1" applyBorder="1" applyAlignment="1" applyProtection="1">
      <alignment horizontal="center"/>
      <protection hidden="1"/>
    </xf>
    <xf numFmtId="6" fontId="32" fillId="3" borderId="3" xfId="0" applyNumberFormat="1" applyFont="1" applyFill="1" applyBorder="1" applyAlignment="1" applyProtection="1">
      <alignment horizontal="center" wrapText="1"/>
      <protection locked="0"/>
    </xf>
    <xf numFmtId="6" fontId="32" fillId="0" borderId="3" xfId="0" applyNumberFormat="1" applyFont="1" applyBorder="1" applyAlignment="1" applyProtection="1">
      <alignment horizontal="center"/>
      <protection hidden="1"/>
    </xf>
    <xf numFmtId="6" fontId="32" fillId="3" borderId="3" xfId="0" applyNumberFormat="1" applyFont="1" applyFill="1" applyBorder="1" applyAlignment="1" applyProtection="1">
      <alignment horizontal="center" vertical="center"/>
      <protection locked="0"/>
    </xf>
    <xf numFmtId="6" fontId="26" fillId="15" borderId="3" xfId="0" applyNumberFormat="1" applyFont="1" applyFill="1" applyBorder="1" applyAlignment="1" applyProtection="1">
      <alignment horizontal="center" vertical="center"/>
      <protection hidden="1"/>
    </xf>
    <xf numFmtId="6" fontId="26" fillId="0" borderId="15" xfId="0" applyNumberFormat="1" applyFont="1" applyBorder="1" applyAlignment="1">
      <alignment horizontal="center" vertical="center"/>
    </xf>
    <xf numFmtId="6" fontId="26" fillId="0" borderId="15" xfId="0" applyNumberFormat="1" applyFont="1" applyBorder="1" applyAlignment="1" applyProtection="1">
      <alignment horizontal="center" vertical="center"/>
      <protection hidden="1"/>
    </xf>
    <xf numFmtId="6" fontId="28" fillId="10" borderId="3" xfId="0" applyNumberFormat="1" applyFont="1" applyFill="1" applyBorder="1" applyAlignment="1" applyProtection="1">
      <alignment horizontal="center"/>
      <protection hidden="1"/>
    </xf>
    <xf numFmtId="6" fontId="28" fillId="18" borderId="15" xfId="0" applyNumberFormat="1" applyFont="1" applyFill="1" applyBorder="1" applyAlignment="1" applyProtection="1">
      <alignment horizontal="center"/>
      <protection hidden="1"/>
    </xf>
    <xf numFmtId="6" fontId="26" fillId="10" borderId="3" xfId="0" applyNumberFormat="1" applyFont="1" applyFill="1" applyBorder="1" applyAlignment="1" applyProtection="1">
      <alignment horizontal="center" vertical="center" wrapText="1"/>
      <protection hidden="1"/>
    </xf>
    <xf numFmtId="6" fontId="26" fillId="18" borderId="15" xfId="0" applyNumberFormat="1" applyFont="1" applyFill="1" applyBorder="1" applyAlignment="1" applyProtection="1">
      <alignment horizontal="center" vertical="center" wrapText="1"/>
      <protection hidden="1"/>
    </xf>
    <xf numFmtId="6" fontId="26" fillId="10" borderId="3" xfId="0" applyNumberFormat="1" applyFont="1" applyFill="1" applyBorder="1" applyAlignment="1" applyProtection="1">
      <alignment horizontal="center" wrapText="1"/>
      <protection hidden="1"/>
    </xf>
    <xf numFmtId="6" fontId="28" fillId="21" borderId="3" xfId="0" applyNumberFormat="1" applyFont="1" applyFill="1" applyBorder="1" applyAlignment="1" applyProtection="1">
      <alignment horizontal="center" wrapText="1"/>
      <protection locked="0"/>
    </xf>
    <xf numFmtId="6" fontId="26" fillId="10" borderId="14" xfId="0" applyNumberFormat="1" applyFont="1" applyFill="1" applyBorder="1" applyAlignment="1" applyProtection="1">
      <alignment horizontal="center" wrapText="1"/>
      <protection hidden="1"/>
    </xf>
    <xf numFmtId="0" fontId="16" fillId="19" borderId="3" xfId="0" applyFont="1" applyFill="1" applyBorder="1" applyAlignment="1">
      <alignment horizontal="center" vertical="center"/>
    </xf>
    <xf numFmtId="0" fontId="20" fillId="19" borderId="3" xfId="0" applyFont="1" applyFill="1" applyBorder="1" applyAlignment="1">
      <alignment horizontal="center" vertical="center"/>
    </xf>
    <xf numFmtId="0" fontId="53" fillId="17" borderId="3" xfId="0" applyFont="1" applyFill="1" applyBorder="1" applyAlignment="1">
      <alignment horizontal="center" vertical="center" wrapText="1"/>
    </xf>
    <xf numFmtId="0" fontId="51" fillId="17" borderId="3" xfId="0" applyFont="1" applyFill="1" applyBorder="1" applyAlignment="1">
      <alignment horizontal="center" vertical="center" wrapText="1"/>
    </xf>
    <xf numFmtId="0" fontId="53" fillId="17" borderId="4" xfId="0" applyFont="1" applyFill="1" applyBorder="1" applyAlignment="1">
      <alignment horizontal="center" vertical="center"/>
    </xf>
    <xf numFmtId="0" fontId="53" fillId="9" borderId="3" xfId="0" applyFont="1" applyFill="1" applyBorder="1" applyAlignment="1">
      <alignment horizontal="center" vertical="center" wrapText="1"/>
    </xf>
    <xf numFmtId="0" fontId="53" fillId="9" borderId="3" xfId="0" applyFont="1" applyFill="1" applyBorder="1" applyAlignment="1">
      <alignment horizontal="center" vertical="center"/>
    </xf>
    <xf numFmtId="0" fontId="53" fillId="9" borderId="4" xfId="0" applyFont="1" applyFill="1" applyBorder="1" applyAlignment="1">
      <alignment horizontal="center" vertical="center" wrapText="1"/>
    </xf>
    <xf numFmtId="0" fontId="53" fillId="9" borderId="5" xfId="0" applyFont="1" applyFill="1" applyBorder="1" applyAlignment="1">
      <alignment horizontal="center" vertical="center" wrapText="1"/>
    </xf>
    <xf numFmtId="165" fontId="26" fillId="0" borderId="35" xfId="0" applyNumberFormat="1" applyFont="1" applyBorder="1" applyAlignment="1">
      <alignment horizontal="center"/>
    </xf>
    <xf numFmtId="6" fontId="26" fillId="10" borderId="3" xfId="0" applyNumberFormat="1" applyFont="1" applyFill="1" applyBorder="1" applyAlignment="1" applyProtection="1">
      <alignment horizontal="center" vertical="center"/>
      <protection hidden="1"/>
    </xf>
    <xf numFmtId="6" fontId="26" fillId="10" borderId="11" xfId="0" applyNumberFormat="1" applyFont="1" applyFill="1" applyBorder="1" applyAlignment="1" applyProtection="1">
      <alignment horizontal="center" vertical="center"/>
      <protection hidden="1"/>
    </xf>
    <xf numFmtId="6" fontId="28" fillId="19" borderId="15" xfId="0" applyNumberFormat="1" applyFont="1" applyFill="1" applyBorder="1" applyAlignment="1" applyProtection="1">
      <alignment horizontal="center"/>
      <protection hidden="1"/>
    </xf>
    <xf numFmtId="6" fontId="28" fillId="19" borderId="3" xfId="0" applyNumberFormat="1" applyFont="1" applyFill="1" applyBorder="1" applyAlignment="1" applyProtection="1">
      <alignment horizontal="center" vertical="center"/>
      <protection hidden="1"/>
    </xf>
    <xf numFmtId="9" fontId="26" fillId="12" borderId="13" xfId="0" applyNumberFormat="1" applyFont="1" applyFill="1" applyBorder="1" applyAlignment="1">
      <alignment horizontal="center"/>
    </xf>
    <xf numFmtId="0" fontId="26" fillId="16" borderId="10" xfId="0" applyFont="1" applyFill="1" applyBorder="1"/>
    <xf numFmtId="6" fontId="26" fillId="16" borderId="3" xfId="0" applyNumberFormat="1" applyFont="1" applyFill="1" applyBorder="1" applyAlignment="1" applyProtection="1">
      <alignment horizontal="center" vertical="center" wrapText="1"/>
      <protection hidden="1"/>
    </xf>
    <xf numFmtId="0" fontId="39" fillId="5" borderId="12" xfId="0" applyFont="1" applyFill="1" applyBorder="1"/>
    <xf numFmtId="6" fontId="39" fillId="5" borderId="15" xfId="0" applyNumberFormat="1" applyFont="1" applyFill="1" applyBorder="1" applyAlignment="1" applyProtection="1">
      <alignment horizontal="center" wrapText="1"/>
      <protection hidden="1"/>
    </xf>
    <xf numFmtId="0" fontId="31" fillId="19" borderId="12" xfId="0" applyFont="1" applyFill="1" applyBorder="1"/>
    <xf numFmtId="6" fontId="31" fillId="19" borderId="15" xfId="0" applyNumberFormat="1" applyFont="1" applyFill="1" applyBorder="1" applyAlignment="1" applyProtection="1">
      <alignment horizontal="center" wrapText="1"/>
      <protection hidden="1"/>
    </xf>
    <xf numFmtId="9" fontId="26" fillId="31" borderId="3" xfId="0" applyNumberFormat="1" applyFont="1" applyFill="1" applyBorder="1" applyAlignment="1" applyProtection="1">
      <alignment horizontal="center"/>
      <protection locked="0"/>
    </xf>
    <xf numFmtId="8" fontId="26" fillId="25" borderId="3" xfId="0" applyNumberFormat="1" applyFont="1" applyFill="1" applyBorder="1" applyAlignment="1" applyProtection="1">
      <alignment horizontal="center"/>
      <protection locked="0"/>
    </xf>
    <xf numFmtId="6" fontId="32" fillId="18" borderId="3" xfId="0" applyNumberFormat="1" applyFont="1" applyFill="1" applyBorder="1" applyAlignment="1" applyProtection="1">
      <alignment horizontal="center" wrapText="1"/>
      <protection hidden="1"/>
    </xf>
    <xf numFmtId="0" fontId="26" fillId="25" borderId="3" xfId="0" applyFont="1" applyFill="1" applyBorder="1" applyAlignment="1" applyProtection="1">
      <alignment horizontal="center"/>
      <protection locked="0"/>
    </xf>
    <xf numFmtId="8" fontId="26" fillId="25" borderId="3" xfId="5" applyNumberFormat="1" applyFont="1" applyFill="1" applyBorder="1" applyAlignment="1" applyProtection="1">
      <alignment horizontal="center"/>
      <protection locked="0"/>
    </xf>
    <xf numFmtId="0" fontId="12" fillId="0" borderId="3" xfId="0" applyFont="1" applyBorder="1" applyProtection="1">
      <protection locked="0"/>
    </xf>
    <xf numFmtId="0" fontId="12" fillId="31" borderId="3" xfId="0" applyFont="1" applyFill="1" applyBorder="1" applyProtection="1">
      <protection locked="0"/>
    </xf>
    <xf numFmtId="0" fontId="12" fillId="31" borderId="3" xfId="0" applyFont="1" applyFill="1" applyBorder="1" applyAlignment="1" applyProtection="1">
      <alignment horizontal="center"/>
      <protection locked="0"/>
    </xf>
    <xf numFmtId="9" fontId="12" fillId="31" borderId="3" xfId="0" applyNumberFormat="1" applyFont="1" applyFill="1" applyBorder="1" applyAlignment="1" applyProtection="1">
      <alignment horizontal="center"/>
      <protection locked="0"/>
    </xf>
    <xf numFmtId="0" fontId="12" fillId="25" borderId="3" xfId="0" applyFont="1" applyFill="1" applyBorder="1" applyAlignment="1" applyProtection="1">
      <alignment horizontal="center"/>
      <protection locked="0"/>
    </xf>
    <xf numFmtId="6" fontId="12" fillId="25" borderId="3" xfId="0" applyNumberFormat="1" applyFont="1" applyFill="1" applyBorder="1" applyAlignment="1" applyProtection="1">
      <alignment horizontal="center"/>
      <protection locked="0"/>
    </xf>
    <xf numFmtId="8" fontId="12" fillId="25" borderId="3" xfId="0" applyNumberFormat="1" applyFont="1" applyFill="1" applyBorder="1" applyAlignment="1" applyProtection="1">
      <alignment horizontal="center"/>
      <protection locked="0"/>
    </xf>
    <xf numFmtId="8" fontId="12" fillId="0" borderId="3" xfId="0" applyNumberFormat="1" applyFont="1" applyBorder="1" applyProtection="1">
      <protection locked="0"/>
    </xf>
    <xf numFmtId="8" fontId="12" fillId="25" borderId="3" xfId="5" applyNumberFormat="1" applyFont="1" applyFill="1" applyBorder="1" applyAlignment="1" applyProtection="1">
      <alignment horizontal="center"/>
      <protection locked="0"/>
    </xf>
    <xf numFmtId="0" fontId="12" fillId="7" borderId="29" xfId="0" applyFont="1" applyFill="1" applyBorder="1" applyAlignment="1" applyProtection="1">
      <alignment horizontal="center"/>
      <protection locked="0"/>
    </xf>
    <xf numFmtId="8" fontId="12" fillId="0" borderId="3" xfId="5" applyNumberFormat="1" applyFont="1" applyBorder="1" applyAlignment="1" applyProtection="1">
      <alignment horizontal="center"/>
      <protection locked="0"/>
    </xf>
    <xf numFmtId="0" fontId="62" fillId="0" borderId="0" xfId="6" applyFont="1" applyProtection="1">
      <protection locked="0"/>
    </xf>
    <xf numFmtId="8" fontId="26" fillId="0" borderId="3" xfId="0" applyNumberFormat="1" applyFont="1" applyBorder="1" applyAlignment="1" applyProtection="1">
      <alignment horizontal="center"/>
      <protection locked="0"/>
    </xf>
    <xf numFmtId="0" fontId="13" fillId="22" borderId="3" xfId="6" applyFont="1" applyFill="1" applyBorder="1" applyAlignment="1" applyProtection="1">
      <alignment horizontal="center" vertical="center" wrapText="1"/>
      <protection locked="0"/>
    </xf>
    <xf numFmtId="12" fontId="19" fillId="24" borderId="3" xfId="0" applyNumberFormat="1" applyFont="1" applyFill="1" applyBorder="1" applyAlignment="1" applyProtection="1">
      <alignment vertical="center"/>
      <protection locked="0"/>
    </xf>
    <xf numFmtId="0" fontId="11" fillId="25" borderId="10" xfId="0" applyFont="1" applyFill="1" applyBorder="1" applyProtection="1">
      <protection locked="0"/>
    </xf>
    <xf numFmtId="3" fontId="12" fillId="25" borderId="3" xfId="0" applyNumberFormat="1" applyFont="1" applyFill="1" applyBorder="1" applyAlignment="1" applyProtection="1">
      <alignment horizontal="center"/>
      <protection locked="0"/>
    </xf>
    <xf numFmtId="0" fontId="11" fillId="19" borderId="10" xfId="0" applyFont="1" applyFill="1" applyBorder="1" applyProtection="1">
      <protection locked="0"/>
    </xf>
    <xf numFmtId="6" fontId="11" fillId="19" borderId="3" xfId="0" applyNumberFormat="1" applyFont="1" applyFill="1" applyBorder="1" applyAlignment="1" applyProtection="1">
      <alignment horizontal="center"/>
      <protection locked="0"/>
    </xf>
    <xf numFmtId="0" fontId="12" fillId="25" borderId="10" xfId="0" applyFont="1" applyFill="1" applyBorder="1" applyProtection="1">
      <protection locked="0"/>
    </xf>
    <xf numFmtId="8" fontId="12" fillId="25" borderId="3" xfId="0" applyNumberFormat="1" applyFont="1" applyFill="1" applyBorder="1" applyProtection="1">
      <protection locked="0"/>
    </xf>
    <xf numFmtId="0" fontId="11" fillId="19" borderId="12" xfId="0" applyFont="1" applyFill="1" applyBorder="1" applyAlignment="1" applyProtection="1">
      <alignment horizontal="center"/>
      <protection locked="0"/>
    </xf>
    <xf numFmtId="0" fontId="13" fillId="22" borderId="3" xfId="0" applyFont="1" applyFill="1" applyBorder="1" applyAlignment="1" applyProtection="1">
      <alignment horizontal="center" vertical="center" wrapText="1"/>
      <protection locked="0"/>
    </xf>
    <xf numFmtId="12" fontId="19" fillId="24" borderId="3" xfId="0" applyNumberFormat="1" applyFont="1" applyFill="1" applyBorder="1" applyAlignment="1" applyProtection="1">
      <alignment horizontal="right" vertical="center"/>
      <protection locked="0"/>
    </xf>
    <xf numFmtId="0" fontId="11" fillId="25" borderId="10" xfId="0" applyFont="1" applyFill="1" applyBorder="1" applyAlignment="1" applyProtection="1">
      <alignment horizontal="left" indent="1"/>
      <protection locked="0"/>
    </xf>
    <xf numFmtId="0" fontId="12" fillId="25" borderId="3" xfId="0" applyFont="1" applyFill="1" applyBorder="1" applyProtection="1">
      <protection locked="0"/>
    </xf>
    <xf numFmtId="0" fontId="11" fillId="18" borderId="12" xfId="0" applyFont="1" applyFill="1" applyBorder="1" applyProtection="1">
      <protection locked="0"/>
    </xf>
    <xf numFmtId="6" fontId="12" fillId="18" borderId="3" xfId="0" applyNumberFormat="1" applyFont="1" applyFill="1" applyBorder="1" applyAlignment="1" applyProtection="1">
      <alignment horizontal="center"/>
      <protection locked="0"/>
    </xf>
    <xf numFmtId="0" fontId="19" fillId="22" borderId="3" xfId="0" applyFont="1" applyFill="1" applyBorder="1" applyAlignment="1" applyProtection="1">
      <alignment horizontal="center"/>
      <protection locked="0"/>
    </xf>
    <xf numFmtId="12" fontId="19" fillId="24" borderId="6" xfId="0" applyNumberFormat="1" applyFont="1" applyFill="1" applyBorder="1" applyAlignment="1" applyProtection="1">
      <alignment horizontal="right"/>
      <protection locked="0"/>
    </xf>
    <xf numFmtId="12" fontId="19" fillId="24" borderId="3" xfId="0" applyNumberFormat="1" applyFont="1" applyFill="1" applyBorder="1" applyAlignment="1" applyProtection="1">
      <alignment horizontal="right"/>
      <protection locked="0"/>
    </xf>
    <xf numFmtId="0" fontId="12" fillId="25" borderId="58" xfId="0" applyFont="1" applyFill="1" applyBorder="1" applyAlignment="1" applyProtection="1">
      <alignment horizontal="left" indent="1"/>
      <protection locked="0"/>
    </xf>
    <xf numFmtId="0" fontId="12" fillId="16" borderId="58" xfId="0" applyFont="1" applyFill="1" applyBorder="1" applyProtection="1">
      <protection locked="0"/>
    </xf>
    <xf numFmtId="6" fontId="12" fillId="16" borderId="3" xfId="0" applyNumberFormat="1" applyFont="1" applyFill="1" applyBorder="1" applyAlignment="1" applyProtection="1">
      <alignment horizontal="center"/>
      <protection locked="0"/>
    </xf>
    <xf numFmtId="0" fontId="12" fillId="18" borderId="12" xfId="0" applyFont="1" applyFill="1" applyBorder="1" applyProtection="1">
      <protection locked="0"/>
    </xf>
    <xf numFmtId="6" fontId="12" fillId="18" borderId="59" xfId="0" applyNumberFormat="1" applyFont="1" applyFill="1" applyBorder="1" applyAlignment="1" applyProtection="1">
      <alignment horizontal="center"/>
      <protection locked="0"/>
    </xf>
    <xf numFmtId="0" fontId="12" fillId="25" borderId="3" xfId="0" applyFont="1" applyFill="1" applyBorder="1" applyAlignment="1" applyProtection="1">
      <alignment horizontal="left"/>
      <protection locked="0"/>
    </xf>
    <xf numFmtId="0" fontId="11" fillId="25" borderId="3" xfId="0" applyFont="1" applyFill="1" applyBorder="1" applyAlignment="1" applyProtection="1">
      <alignment horizontal="left"/>
      <protection locked="0"/>
    </xf>
    <xf numFmtId="0" fontId="20" fillId="19" borderId="3" xfId="0" applyFont="1" applyFill="1" applyBorder="1" applyAlignment="1" applyProtection="1">
      <alignment horizontal="left"/>
      <protection locked="0"/>
    </xf>
    <xf numFmtId="6" fontId="20" fillId="19" borderId="3" xfId="0" applyNumberFormat="1" applyFont="1" applyFill="1" applyBorder="1" applyAlignment="1" applyProtection="1">
      <alignment horizontal="center"/>
      <protection locked="0"/>
    </xf>
    <xf numFmtId="0" fontId="13" fillId="22" borderId="6" xfId="0" applyFont="1" applyFill="1" applyBorder="1" applyAlignment="1" applyProtection="1">
      <alignment horizontal="center" vertical="center"/>
      <protection locked="0"/>
    </xf>
    <xf numFmtId="0" fontId="19" fillId="24" borderId="6" xfId="0" applyFont="1" applyFill="1" applyBorder="1" applyAlignment="1" applyProtection="1">
      <alignment horizontal="center" vertical="center"/>
      <protection locked="0"/>
    </xf>
    <xf numFmtId="12" fontId="19" fillId="24" borderId="6" xfId="0" applyNumberFormat="1" applyFont="1" applyFill="1" applyBorder="1" applyAlignment="1" applyProtection="1">
      <alignment horizontal="right" vertical="center"/>
      <protection locked="0"/>
    </xf>
    <xf numFmtId="0" fontId="12" fillId="25" borderId="3" xfId="0" applyFont="1" applyFill="1" applyBorder="1" applyAlignment="1" applyProtection="1">
      <alignment horizontal="left" indent="1"/>
      <protection locked="0"/>
    </xf>
    <xf numFmtId="6" fontId="12" fillId="25" borderId="3" xfId="0" applyNumberFormat="1" applyFont="1" applyFill="1" applyBorder="1" applyProtection="1">
      <protection locked="0"/>
    </xf>
    <xf numFmtId="0" fontId="12" fillId="19" borderId="3" xfId="0" applyFont="1" applyFill="1" applyBorder="1" applyProtection="1">
      <protection locked="0"/>
    </xf>
    <xf numFmtId="6" fontId="12" fillId="19" borderId="3" xfId="0" applyNumberFormat="1" applyFont="1" applyFill="1" applyBorder="1" applyAlignment="1" applyProtection="1">
      <alignment horizontal="center"/>
      <protection locked="0"/>
    </xf>
    <xf numFmtId="0" fontId="12" fillId="16" borderId="29" xfId="0" applyFont="1" applyFill="1" applyBorder="1" applyAlignment="1" applyProtection="1">
      <alignment horizontal="center"/>
      <protection locked="0"/>
    </xf>
    <xf numFmtId="8" fontId="12" fillId="16" borderId="29" xfId="0" applyNumberFormat="1" applyFont="1" applyFill="1" applyBorder="1" applyAlignment="1" applyProtection="1">
      <alignment horizontal="center"/>
      <protection locked="0"/>
    </xf>
    <xf numFmtId="6" fontId="28" fillId="27" borderId="3" xfId="0" applyNumberFormat="1" applyFont="1" applyFill="1" applyBorder="1" applyAlignment="1" applyProtection="1">
      <alignment horizontal="center"/>
      <protection hidden="1"/>
    </xf>
    <xf numFmtId="10" fontId="28" fillId="27" borderId="3" xfId="0" applyNumberFormat="1" applyFont="1" applyFill="1" applyBorder="1" applyAlignment="1" applyProtection="1">
      <alignment horizontal="center"/>
      <protection hidden="1"/>
    </xf>
    <xf numFmtId="10" fontId="28" fillId="27" borderId="11" xfId="0" applyNumberFormat="1" applyFont="1" applyFill="1" applyBorder="1" applyAlignment="1" applyProtection="1">
      <alignment horizontal="center"/>
      <protection hidden="1"/>
    </xf>
    <xf numFmtId="9" fontId="28" fillId="27" borderId="29" xfId="0" applyNumberFormat="1" applyFont="1" applyFill="1" applyBorder="1" applyAlignment="1" applyProtection="1">
      <alignment horizontal="center"/>
      <protection hidden="1"/>
    </xf>
    <xf numFmtId="10" fontId="28" fillId="27" borderId="15" xfId="0" applyNumberFormat="1" applyFont="1" applyFill="1" applyBorder="1" applyAlignment="1" applyProtection="1">
      <alignment horizontal="center"/>
      <protection hidden="1"/>
    </xf>
    <xf numFmtId="0" fontId="28" fillId="27" borderId="13" xfId="0" applyFont="1" applyFill="1" applyBorder="1" applyAlignment="1" applyProtection="1">
      <alignment horizontal="center"/>
      <protection hidden="1"/>
    </xf>
    <xf numFmtId="0" fontId="26" fillId="0" borderId="0" xfId="0" applyFont="1" applyAlignment="1" applyProtection="1">
      <alignment horizontal="center"/>
      <protection hidden="1"/>
    </xf>
    <xf numFmtId="6" fontId="28" fillId="27" borderId="14" xfId="0" applyNumberFormat="1" applyFont="1" applyFill="1" applyBorder="1" applyAlignment="1" applyProtection="1">
      <alignment horizontal="center"/>
      <protection hidden="1"/>
    </xf>
    <xf numFmtId="6" fontId="28" fillId="27" borderId="15" xfId="0" applyNumberFormat="1" applyFont="1" applyFill="1" applyBorder="1" applyAlignment="1" applyProtection="1">
      <alignment horizontal="center"/>
      <protection hidden="1"/>
    </xf>
    <xf numFmtId="0" fontId="26" fillId="0" borderId="45" xfId="0" applyFont="1" applyBorder="1" applyProtection="1">
      <protection hidden="1"/>
    </xf>
    <xf numFmtId="0" fontId="63" fillId="0" borderId="0" xfId="0" applyFont="1" applyAlignment="1">
      <alignment vertical="center"/>
    </xf>
    <xf numFmtId="0" fontId="63" fillId="0" borderId="0" xfId="0" applyFont="1"/>
    <xf numFmtId="0" fontId="64" fillId="0" borderId="0" xfId="0" applyFont="1" applyAlignment="1">
      <alignment horizontal="center" vertical="center"/>
    </xf>
    <xf numFmtId="0" fontId="65" fillId="0" borderId="0" xfId="0" applyFont="1" applyAlignment="1">
      <alignment horizontal="justify" vertical="center"/>
    </xf>
    <xf numFmtId="0" fontId="65" fillId="0" borderId="0" xfId="0" applyFont="1" applyAlignment="1">
      <alignment horizontal="left" vertical="center" indent="2"/>
    </xf>
    <xf numFmtId="0" fontId="65" fillId="0" borderId="0" xfId="0" applyFont="1" applyAlignment="1">
      <alignment horizontal="justify" vertical="center" wrapText="1"/>
    </xf>
    <xf numFmtId="0" fontId="0" fillId="29" borderId="0" xfId="0" applyFill="1"/>
    <xf numFmtId="0" fontId="64" fillId="12" borderId="29" xfId="0" applyFont="1" applyFill="1" applyBorder="1" applyAlignment="1">
      <alignment horizontal="center" vertical="center"/>
    </xf>
    <xf numFmtId="0" fontId="12" fillId="15" borderId="0" xfId="0" applyFont="1" applyFill="1" applyAlignment="1">
      <alignment horizontal="center"/>
    </xf>
    <xf numFmtId="0" fontId="6" fillId="15" borderId="0" xfId="0" applyFont="1" applyFill="1" applyAlignment="1" applyProtection="1">
      <alignment horizontal="center"/>
      <protection hidden="1"/>
    </xf>
    <xf numFmtId="0" fontId="19" fillId="15" borderId="0" xfId="0" applyFont="1" applyFill="1" applyAlignment="1" applyProtection="1">
      <alignment horizontal="center"/>
      <protection hidden="1"/>
    </xf>
    <xf numFmtId="0" fontId="70" fillId="0" borderId="3" xfId="0" applyFont="1" applyBorder="1" applyAlignment="1">
      <alignment horizontal="center"/>
    </xf>
    <xf numFmtId="0" fontId="61" fillId="33" borderId="10" xfId="0" applyFont="1" applyFill="1" applyBorder="1" applyAlignment="1" applyProtection="1">
      <alignment horizontal="left" indent="1"/>
      <protection locked="0"/>
    </xf>
    <xf numFmtId="6" fontId="12" fillId="33" borderId="3" xfId="0" applyNumberFormat="1" applyFont="1" applyFill="1" applyBorder="1" applyAlignment="1" applyProtection="1">
      <alignment horizontal="center"/>
      <protection locked="0"/>
    </xf>
    <xf numFmtId="0" fontId="61" fillId="33" borderId="10" xfId="0" applyFont="1" applyFill="1" applyBorder="1" applyProtection="1">
      <protection locked="0"/>
    </xf>
    <xf numFmtId="0" fontId="37" fillId="33" borderId="0" xfId="0" applyFont="1" applyFill="1"/>
    <xf numFmtId="167" fontId="26" fillId="33" borderId="0" xfId="0" applyNumberFormat="1" applyFont="1" applyFill="1"/>
    <xf numFmtId="0" fontId="26" fillId="33" borderId="0" xfId="0" applyFont="1" applyFill="1"/>
    <xf numFmtId="0" fontId="32" fillId="33" borderId="10" xfId="0" applyFont="1" applyFill="1" applyBorder="1" applyAlignment="1">
      <alignment horizontal="left"/>
    </xf>
    <xf numFmtId="3" fontId="26" fillId="33" borderId="3" xfId="0" applyNumberFormat="1" applyFont="1" applyFill="1" applyBorder="1" applyAlignment="1" applyProtection="1">
      <alignment horizontal="center" vertical="center"/>
      <protection hidden="1"/>
    </xf>
    <xf numFmtId="3" fontId="26" fillId="33" borderId="11" xfId="0" applyNumberFormat="1" applyFont="1" applyFill="1" applyBorder="1" applyAlignment="1" applyProtection="1">
      <alignment horizontal="center" vertical="center"/>
      <protection hidden="1"/>
    </xf>
    <xf numFmtId="0" fontId="0" fillId="34" borderId="0" xfId="0" applyFill="1" applyProtection="1">
      <protection locked="0"/>
    </xf>
    <xf numFmtId="0" fontId="23" fillId="34" borderId="3" xfId="0" applyFont="1" applyFill="1" applyBorder="1" applyAlignment="1" applyProtection="1">
      <alignment horizontal="center"/>
      <protection hidden="1"/>
    </xf>
    <xf numFmtId="12" fontId="23" fillId="34" borderId="3" xfId="0" applyNumberFormat="1" applyFont="1" applyFill="1" applyBorder="1" applyAlignment="1" applyProtection="1">
      <alignment horizontal="center"/>
      <protection hidden="1"/>
    </xf>
    <xf numFmtId="0" fontId="23" fillId="34" borderId="3" xfId="0" applyFont="1" applyFill="1" applyBorder="1" applyAlignment="1" applyProtection="1">
      <alignment horizontal="left"/>
      <protection hidden="1"/>
    </xf>
    <xf numFmtId="6" fontId="23" fillId="34" borderId="3" xfId="0" applyNumberFormat="1" applyFont="1" applyFill="1" applyBorder="1" applyAlignment="1" applyProtection="1">
      <alignment horizontal="center"/>
      <protection hidden="1"/>
    </xf>
    <xf numFmtId="0" fontId="23" fillId="34" borderId="3" xfId="0" applyFont="1" applyFill="1" applyBorder="1" applyProtection="1">
      <protection hidden="1"/>
    </xf>
    <xf numFmtId="0" fontId="0" fillId="34" borderId="0" xfId="0" applyFill="1" applyProtection="1">
      <protection hidden="1"/>
    </xf>
    <xf numFmtId="0" fontId="24" fillId="34" borderId="3" xfId="0" applyFont="1" applyFill="1" applyBorder="1" applyAlignment="1" applyProtection="1">
      <alignment horizontal="center"/>
      <protection hidden="1"/>
    </xf>
    <xf numFmtId="0" fontId="0" fillId="33" borderId="0" xfId="0" applyFill="1" applyBorder="1"/>
    <xf numFmtId="0" fontId="60" fillId="23" borderId="3" xfId="6" applyFill="1" applyBorder="1" applyAlignment="1">
      <alignment horizontal="center" vertical="top"/>
    </xf>
    <xf numFmtId="0" fontId="60" fillId="23" borderId="3" xfId="6" applyFill="1" applyBorder="1" applyAlignment="1">
      <alignment horizontal="center" vertical="center"/>
    </xf>
    <xf numFmtId="0" fontId="60" fillId="23" borderId="3" xfId="6" applyFill="1" applyBorder="1" applyAlignment="1">
      <alignment horizontal="center"/>
    </xf>
    <xf numFmtId="0" fontId="15" fillId="23" borderId="60" xfId="0" applyFont="1" applyFill="1" applyBorder="1" applyAlignment="1" applyProtection="1">
      <alignment horizontal="center"/>
      <protection hidden="1"/>
    </xf>
    <xf numFmtId="0" fontId="16" fillId="33" borderId="20" xfId="0" applyFont="1" applyFill="1" applyBorder="1" applyAlignment="1">
      <alignment horizontal="center"/>
    </xf>
    <xf numFmtId="0" fontId="12" fillId="33" borderId="22" xfId="0" applyFont="1" applyFill="1" applyBorder="1" applyAlignment="1">
      <alignment horizontal="center"/>
    </xf>
    <xf numFmtId="0" fontId="13" fillId="35" borderId="11" xfId="0" applyFont="1" applyFill="1" applyBorder="1" applyAlignment="1">
      <alignment horizontal="center"/>
    </xf>
    <xf numFmtId="0" fontId="13" fillId="35" borderId="13" xfId="0" applyFont="1" applyFill="1" applyBorder="1" applyAlignment="1">
      <alignment horizontal="center"/>
    </xf>
    <xf numFmtId="0" fontId="13" fillId="35" borderId="22" xfId="0" applyFont="1" applyFill="1" applyBorder="1" applyAlignment="1">
      <alignment horizontal="center"/>
    </xf>
    <xf numFmtId="0" fontId="12" fillId="0" borderId="0" xfId="0" applyFont="1" applyFill="1" applyAlignment="1">
      <alignment horizontal="center"/>
    </xf>
    <xf numFmtId="0" fontId="13" fillId="35" borderId="29" xfId="2" applyFont="1" applyFill="1" applyBorder="1" applyAlignment="1">
      <alignment horizontal="center"/>
    </xf>
    <xf numFmtId="0" fontId="13" fillId="35" borderId="29" xfId="0" applyFont="1" applyFill="1" applyBorder="1" applyAlignment="1">
      <alignment horizontal="center"/>
    </xf>
    <xf numFmtId="0" fontId="13" fillId="35" borderId="10" xfId="1" applyFont="1" applyFill="1" applyBorder="1" applyAlignment="1">
      <alignment horizontal="center"/>
    </xf>
    <xf numFmtId="0" fontId="13" fillId="35" borderId="4" xfId="0" applyFont="1" applyFill="1" applyBorder="1" applyAlignment="1" applyProtection="1">
      <alignment horizontal="center"/>
      <protection hidden="1"/>
    </xf>
    <xf numFmtId="12" fontId="16" fillId="35" borderId="4" xfId="0" applyNumberFormat="1" applyFont="1" applyFill="1" applyBorder="1" applyAlignment="1" applyProtection="1">
      <alignment horizontal="center"/>
      <protection locked="0"/>
    </xf>
    <xf numFmtId="12" fontId="16" fillId="35" borderId="57" xfId="0" applyNumberFormat="1" applyFont="1" applyFill="1" applyBorder="1" applyAlignment="1" applyProtection="1">
      <alignment horizontal="center"/>
      <protection locked="0"/>
    </xf>
    <xf numFmtId="0" fontId="32" fillId="33" borderId="10" xfId="0" applyFont="1" applyFill="1" applyBorder="1" applyAlignment="1">
      <alignment horizontal="left" indent="1"/>
    </xf>
    <xf numFmtId="6" fontId="32" fillId="33" borderId="3" xfId="0" applyNumberFormat="1" applyFont="1" applyFill="1" applyBorder="1" applyAlignment="1" applyProtection="1">
      <alignment horizontal="center" vertical="center"/>
      <protection hidden="1"/>
    </xf>
    <xf numFmtId="6" fontId="32" fillId="33" borderId="11" xfId="0" applyNumberFormat="1" applyFont="1" applyFill="1" applyBorder="1" applyAlignment="1" applyProtection="1">
      <alignment horizontal="center" vertical="center"/>
      <protection hidden="1"/>
    </xf>
    <xf numFmtId="0" fontId="36" fillId="33" borderId="10" xfId="0" applyFont="1" applyFill="1" applyBorder="1"/>
    <xf numFmtId="0" fontId="74" fillId="23" borderId="3" xfId="0" applyFont="1" applyFill="1" applyBorder="1" applyAlignment="1">
      <alignment horizontal="center" vertical="center"/>
    </xf>
    <xf numFmtId="0" fontId="71" fillId="25" borderId="3" xfId="0" applyFont="1" applyFill="1" applyBorder="1" applyAlignment="1">
      <alignment horizontal="center" vertical="center" wrapText="1"/>
    </xf>
    <xf numFmtId="0" fontId="11" fillId="23" borderId="3" xfId="0" applyFont="1" applyFill="1" applyBorder="1" applyAlignment="1" applyProtection="1">
      <alignment horizontal="center" vertical="center"/>
      <protection locked="0"/>
    </xf>
    <xf numFmtId="0" fontId="13" fillId="35" borderId="11" xfId="0" applyFont="1" applyFill="1" applyBorder="1" applyAlignment="1">
      <alignment horizontal="center" vertical="center"/>
    </xf>
    <xf numFmtId="0" fontId="73" fillId="25" borderId="3" xfId="6" applyFont="1" applyFill="1" applyBorder="1" applyAlignment="1">
      <alignment horizontal="center" vertical="center"/>
    </xf>
    <xf numFmtId="0" fontId="0" fillId="0" borderId="0" xfId="0" applyFill="1" applyProtection="1">
      <protection locked="0"/>
    </xf>
    <xf numFmtId="0" fontId="0" fillId="0" borderId="0" xfId="0" applyFill="1"/>
    <xf numFmtId="0" fontId="19" fillId="0" borderId="6" xfId="0" applyFont="1" applyFill="1" applyBorder="1" applyAlignment="1" applyProtection="1">
      <alignment horizontal="center"/>
      <protection hidden="1"/>
    </xf>
    <xf numFmtId="0" fontId="19" fillId="0" borderId="0" xfId="0" applyFont="1" applyFill="1" applyAlignment="1" applyProtection="1">
      <alignment horizontal="center"/>
      <protection locked="0"/>
    </xf>
    <xf numFmtId="0" fontId="12" fillId="0" borderId="3" xfId="0" applyFont="1" applyFill="1" applyBorder="1" applyAlignment="1" applyProtection="1">
      <alignment horizontal="center"/>
      <protection hidden="1"/>
    </xf>
    <xf numFmtId="0" fontId="0" fillId="0" borderId="3" xfId="0" applyFill="1" applyBorder="1" applyProtection="1">
      <protection hidden="1"/>
    </xf>
    <xf numFmtId="0" fontId="12" fillId="0" borderId="3" xfId="0" applyFont="1" applyFill="1" applyBorder="1" applyAlignment="1" applyProtection="1">
      <alignment horizontal="center"/>
      <protection locked="0"/>
    </xf>
    <xf numFmtId="0" fontId="12" fillId="0" borderId="0" xfId="0" applyFont="1" applyFill="1" applyAlignment="1" applyProtection="1">
      <alignment horizontal="center"/>
      <protection locked="0"/>
    </xf>
    <xf numFmtId="0" fontId="12" fillId="0" borderId="0" xfId="0" applyFont="1" applyFill="1" applyAlignment="1" applyProtection="1">
      <alignment horizontal="center"/>
      <protection hidden="1"/>
    </xf>
    <xf numFmtId="3" fontId="12" fillId="0" borderId="0" xfId="0" applyNumberFormat="1" applyFont="1" applyFill="1" applyAlignment="1" applyProtection="1">
      <alignment horizontal="center"/>
      <protection hidden="1"/>
    </xf>
    <xf numFmtId="10" fontId="12" fillId="0" borderId="0" xfId="0" applyNumberFormat="1" applyFont="1" applyFill="1" applyAlignment="1" applyProtection="1">
      <alignment horizontal="center"/>
      <protection hidden="1"/>
    </xf>
    <xf numFmtId="8" fontId="12" fillId="0" borderId="0" xfId="0" applyNumberFormat="1" applyFont="1" applyFill="1" applyAlignment="1" applyProtection="1">
      <alignment horizontal="center"/>
      <protection hidden="1"/>
    </xf>
    <xf numFmtId="3" fontId="12" fillId="0" borderId="0" xfId="0" applyNumberFormat="1" applyFont="1" applyFill="1" applyAlignment="1" applyProtection="1">
      <alignment horizontal="center" vertical="center" wrapText="1"/>
      <protection hidden="1"/>
    </xf>
    <xf numFmtId="3" fontId="20" fillId="0" borderId="0" xfId="0" applyNumberFormat="1" applyFont="1" applyFill="1" applyAlignment="1" applyProtection="1">
      <alignment horizontal="center"/>
      <protection hidden="1"/>
    </xf>
    <xf numFmtId="10" fontId="20" fillId="0" borderId="0" xfId="0" applyNumberFormat="1" applyFont="1" applyFill="1" applyAlignment="1" applyProtection="1">
      <alignment horizontal="center"/>
      <protection hidden="1"/>
    </xf>
    <xf numFmtId="8" fontId="20" fillId="0" borderId="0" xfId="0" applyNumberFormat="1" applyFont="1" applyFill="1" applyAlignment="1" applyProtection="1">
      <alignment horizontal="center"/>
      <protection hidden="1"/>
    </xf>
    <xf numFmtId="0" fontId="12" fillId="0" borderId="3" xfId="0" applyFont="1" applyFill="1" applyBorder="1" applyAlignment="1" applyProtection="1">
      <alignment horizontal="center" vertical="center"/>
      <protection hidden="1"/>
    </xf>
    <xf numFmtId="0" fontId="12" fillId="0" borderId="0" xfId="0" applyFont="1" applyFill="1" applyAlignment="1" applyProtection="1">
      <alignment horizontal="center" vertical="center"/>
      <protection hidden="1"/>
    </xf>
    <xf numFmtId="1" fontId="12" fillId="0" borderId="0" xfId="0" applyNumberFormat="1" applyFont="1" applyAlignment="1" applyProtection="1">
      <alignment horizontal="center"/>
      <protection locked="0"/>
    </xf>
    <xf numFmtId="6" fontId="12" fillId="0" borderId="0" xfId="0" applyNumberFormat="1" applyFont="1" applyFill="1" applyAlignment="1" applyProtection="1">
      <alignment horizontal="center"/>
      <protection hidden="1"/>
    </xf>
    <xf numFmtId="0" fontId="69" fillId="29" borderId="0" xfId="0" applyFont="1" applyFill="1" applyAlignment="1">
      <alignment horizontal="center"/>
    </xf>
    <xf numFmtId="0" fontId="66" fillId="12" borderId="30" xfId="0" applyFont="1" applyFill="1" applyBorder="1" applyAlignment="1">
      <alignment horizontal="center" vertical="center"/>
    </xf>
    <xf numFmtId="0" fontId="66" fillId="12" borderId="31" xfId="0" applyFont="1" applyFill="1" applyBorder="1" applyAlignment="1">
      <alignment horizontal="center" vertical="center"/>
    </xf>
    <xf numFmtId="0" fontId="66" fillId="12" borderId="32" xfId="0" applyFont="1" applyFill="1" applyBorder="1" applyAlignment="1">
      <alignment horizontal="center" vertical="center"/>
    </xf>
    <xf numFmtId="0" fontId="66" fillId="12" borderId="34" xfId="0" applyFont="1" applyFill="1" applyBorder="1" applyAlignment="1">
      <alignment horizontal="center" vertical="center"/>
    </xf>
    <xf numFmtId="0" fontId="66" fillId="12" borderId="35" xfId="0" applyFont="1" applyFill="1" applyBorder="1" applyAlignment="1">
      <alignment horizontal="center" vertical="center"/>
    </xf>
    <xf numFmtId="0" fontId="66" fillId="12" borderId="45" xfId="0" applyFont="1" applyFill="1" applyBorder="1" applyAlignment="1">
      <alignment horizontal="center" vertical="center"/>
    </xf>
    <xf numFmtId="0" fontId="11" fillId="33" borderId="0" xfId="0" applyFont="1" applyFill="1" applyBorder="1" applyAlignment="1">
      <alignment horizontal="center"/>
    </xf>
    <xf numFmtId="0" fontId="16" fillId="33" borderId="8" xfId="0" applyFont="1" applyFill="1" applyBorder="1" applyAlignment="1">
      <alignment horizontal="center"/>
    </xf>
    <xf numFmtId="0" fontId="16" fillId="33" borderId="14" xfId="0" applyFont="1" applyFill="1" applyBorder="1" applyAlignment="1">
      <alignment horizontal="center"/>
    </xf>
    <xf numFmtId="0" fontId="16" fillId="33" borderId="9" xfId="0" applyFont="1" applyFill="1" applyBorder="1" applyAlignment="1">
      <alignment horizontal="center"/>
    </xf>
    <xf numFmtId="0" fontId="11" fillId="23" borderId="20" xfId="0" applyFont="1" applyFill="1" applyBorder="1" applyAlignment="1">
      <alignment horizontal="center"/>
    </xf>
    <xf numFmtId="0" fontId="11" fillId="23" borderId="21" xfId="0" applyFont="1" applyFill="1" applyBorder="1" applyAlignment="1">
      <alignment horizontal="center"/>
    </xf>
    <xf numFmtId="0" fontId="11" fillId="23" borderId="10" xfId="0" applyFont="1" applyFill="1" applyBorder="1" applyAlignment="1">
      <alignment horizontal="center"/>
    </xf>
    <xf numFmtId="0" fontId="11" fillId="23" borderId="3" xfId="0" applyFont="1" applyFill="1" applyBorder="1" applyAlignment="1">
      <alignment horizontal="center"/>
    </xf>
    <xf numFmtId="0" fontId="11" fillId="23" borderId="10" xfId="0" applyFont="1" applyFill="1" applyBorder="1" applyAlignment="1">
      <alignment horizontal="center" vertical="center"/>
    </xf>
    <xf numFmtId="0" fontId="11" fillId="23" borderId="3" xfId="0" applyFont="1" applyFill="1" applyBorder="1" applyAlignment="1">
      <alignment horizontal="center" vertical="center"/>
    </xf>
    <xf numFmtId="0" fontId="11" fillId="23" borderId="12" xfId="0" applyFont="1" applyFill="1" applyBorder="1" applyAlignment="1">
      <alignment horizontal="center"/>
    </xf>
    <xf numFmtId="0" fontId="11" fillId="23" borderId="15" xfId="0" applyFont="1" applyFill="1" applyBorder="1" applyAlignment="1">
      <alignment horizontal="center"/>
    </xf>
    <xf numFmtId="0" fontId="16" fillId="33" borderId="16" xfId="0" applyFont="1" applyFill="1" applyBorder="1" applyAlignment="1">
      <alignment horizontal="center"/>
    </xf>
    <xf numFmtId="0" fontId="16" fillId="33" borderId="17" xfId="0" applyFont="1" applyFill="1" applyBorder="1" applyAlignment="1">
      <alignment horizontal="center"/>
    </xf>
    <xf numFmtId="0" fontId="16" fillId="33" borderId="18" xfId="0" applyFont="1" applyFill="1" applyBorder="1" applyAlignment="1">
      <alignment horizontal="center"/>
    </xf>
    <xf numFmtId="0" fontId="19" fillId="22" borderId="16" xfId="0" applyFont="1" applyFill="1" applyBorder="1" applyAlignment="1">
      <alignment horizontal="center"/>
    </xf>
    <xf numFmtId="0" fontId="19" fillId="22" borderId="17" xfId="0" applyFont="1" applyFill="1" applyBorder="1" applyAlignment="1">
      <alignment horizontal="center"/>
    </xf>
    <xf numFmtId="0" fontId="12" fillId="21" borderId="53" xfId="0" applyFont="1" applyFill="1" applyBorder="1" applyAlignment="1">
      <alignment horizontal="center" vertical="center"/>
    </xf>
    <xf numFmtId="0" fontId="12" fillId="21" borderId="54" xfId="0" applyFont="1" applyFill="1" applyBorder="1" applyAlignment="1">
      <alignment horizontal="center" vertical="center"/>
    </xf>
    <xf numFmtId="0" fontId="12" fillId="21" borderId="55" xfId="0" applyFont="1" applyFill="1" applyBorder="1" applyAlignment="1">
      <alignment horizontal="center" vertical="center"/>
    </xf>
    <xf numFmtId="0" fontId="12" fillId="21" borderId="36" xfId="0" applyFont="1" applyFill="1" applyBorder="1" applyAlignment="1">
      <alignment horizontal="center" vertical="center" wrapText="1"/>
    </xf>
    <xf numFmtId="0" fontId="12" fillId="21" borderId="37" xfId="0" applyFont="1" applyFill="1" applyBorder="1" applyAlignment="1">
      <alignment horizontal="center" vertical="center" wrapText="1"/>
    </xf>
    <xf numFmtId="0" fontId="12" fillId="21" borderId="38" xfId="0" applyFont="1" applyFill="1" applyBorder="1" applyAlignment="1">
      <alignment horizontal="center" vertical="center" wrapText="1"/>
    </xf>
    <xf numFmtId="12" fontId="19" fillId="24" borderId="3" xfId="0" applyNumberFormat="1" applyFont="1" applyFill="1" applyBorder="1" applyAlignment="1" applyProtection="1">
      <alignment horizontal="center"/>
      <protection hidden="1"/>
    </xf>
    <xf numFmtId="0" fontId="19" fillId="24" borderId="3" xfId="0" applyFont="1" applyFill="1" applyBorder="1" applyAlignment="1" applyProtection="1">
      <alignment horizontal="center"/>
      <protection hidden="1"/>
    </xf>
    <xf numFmtId="0" fontId="12" fillId="0" borderId="5" xfId="0" applyFont="1" applyBorder="1" applyAlignment="1" applyProtection="1">
      <alignment horizontal="center"/>
      <protection locked="0"/>
    </xf>
    <xf numFmtId="0" fontId="12" fillId="0" borderId="56" xfId="0" applyFont="1" applyBorder="1" applyAlignment="1" applyProtection="1">
      <alignment horizontal="center"/>
      <protection locked="0"/>
    </xf>
    <xf numFmtId="9" fontId="12" fillId="0" borderId="5" xfId="0" applyNumberFormat="1" applyFont="1" applyBorder="1" applyAlignment="1" applyProtection="1">
      <alignment horizontal="center"/>
      <protection locked="0"/>
    </xf>
    <xf numFmtId="9" fontId="12" fillId="0" borderId="56" xfId="0" applyNumberFormat="1" applyFont="1" applyBorder="1" applyAlignment="1" applyProtection="1">
      <alignment horizontal="center"/>
      <protection locked="0"/>
    </xf>
    <xf numFmtId="9" fontId="12" fillId="0" borderId="7" xfId="0" applyNumberFormat="1" applyFont="1" applyBorder="1" applyAlignment="1" applyProtection="1">
      <alignment horizontal="center"/>
      <protection locked="0"/>
    </xf>
    <xf numFmtId="0" fontId="25" fillId="0" borderId="30" xfId="0" applyFont="1" applyBorder="1" applyAlignment="1">
      <alignment horizontal="center" vertical="center"/>
    </xf>
    <xf numFmtId="0" fontId="25" fillId="0" borderId="31" xfId="0" applyFont="1" applyBorder="1" applyAlignment="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25" fillId="0" borderId="35" xfId="0" applyFont="1" applyBorder="1" applyAlignment="1">
      <alignment horizontal="center" vertical="center"/>
    </xf>
    <xf numFmtId="0" fontId="25" fillId="0" borderId="45" xfId="0" applyFont="1" applyBorder="1" applyAlignment="1">
      <alignment horizontal="center" vertical="center"/>
    </xf>
    <xf numFmtId="9" fontId="12" fillId="0" borderId="3" xfId="0" applyNumberFormat="1" applyFont="1" applyBorder="1" applyAlignment="1" applyProtection="1">
      <alignment horizontal="center"/>
      <protection locked="0"/>
    </xf>
    <xf numFmtId="0" fontId="11" fillId="19" borderId="4" xfId="0" applyFont="1" applyFill="1" applyBorder="1" applyAlignment="1">
      <alignment horizontal="center" vertical="center"/>
    </xf>
    <xf numFmtId="0" fontId="11" fillId="9" borderId="4" xfId="0" applyFont="1" applyFill="1" applyBorder="1" applyAlignment="1">
      <alignment horizontal="center" vertical="center"/>
    </xf>
    <xf numFmtId="0" fontId="11" fillId="17" borderId="4" xfId="0" applyFont="1" applyFill="1" applyBorder="1" applyAlignment="1">
      <alignment horizontal="center" vertical="center"/>
    </xf>
    <xf numFmtId="0" fontId="11" fillId="17" borderId="57" xfId="0" applyFont="1" applyFill="1" applyBorder="1" applyAlignment="1">
      <alignment horizontal="center" vertical="center"/>
    </xf>
    <xf numFmtId="0" fontId="13" fillId="5" borderId="3" xfId="0" applyFont="1" applyFill="1" applyBorder="1" applyAlignment="1">
      <alignment horizontal="center"/>
    </xf>
    <xf numFmtId="0" fontId="16" fillId="17" borderId="23" xfId="0" applyFont="1" applyFill="1" applyBorder="1" applyAlignment="1" applyProtection="1">
      <alignment horizontal="center"/>
      <protection hidden="1"/>
    </xf>
    <xf numFmtId="0" fontId="20" fillId="17" borderId="16" xfId="0" applyFont="1" applyFill="1" applyBorder="1" applyAlignment="1" applyProtection="1">
      <alignment horizontal="center"/>
      <protection hidden="1"/>
    </xf>
    <xf numFmtId="0" fontId="20" fillId="17" borderId="17" xfId="0" applyFont="1" applyFill="1" applyBorder="1" applyAlignment="1" applyProtection="1">
      <alignment horizontal="center"/>
      <protection hidden="1"/>
    </xf>
    <xf numFmtId="0" fontId="20" fillId="17" borderId="18" xfId="0" applyFont="1" applyFill="1" applyBorder="1" applyAlignment="1" applyProtection="1">
      <alignment horizontal="center"/>
      <protection hidden="1"/>
    </xf>
    <xf numFmtId="0" fontId="16" fillId="9" borderId="23" xfId="0" applyFont="1" applyFill="1" applyBorder="1" applyAlignment="1" applyProtection="1">
      <alignment horizontal="center"/>
      <protection hidden="1"/>
    </xf>
    <xf numFmtId="0" fontId="20" fillId="9" borderId="16" xfId="0" applyFont="1" applyFill="1" applyBorder="1" applyAlignment="1" applyProtection="1">
      <alignment horizontal="center"/>
      <protection hidden="1"/>
    </xf>
    <xf numFmtId="0" fontId="20" fillId="9" borderId="17" xfId="0" applyFont="1" applyFill="1" applyBorder="1" applyAlignment="1" applyProtection="1">
      <alignment horizontal="center"/>
      <protection hidden="1"/>
    </xf>
    <xf numFmtId="0" fontId="20" fillId="9" borderId="18" xfId="0" applyFont="1" applyFill="1" applyBorder="1" applyAlignment="1" applyProtection="1">
      <alignment horizontal="center"/>
      <protection hidden="1"/>
    </xf>
    <xf numFmtId="0" fontId="16" fillId="17" borderId="23" xfId="0" applyFont="1" applyFill="1" applyBorder="1" applyAlignment="1" applyProtection="1">
      <alignment horizontal="center" vertical="center"/>
      <protection hidden="1"/>
    </xf>
    <xf numFmtId="0" fontId="20" fillId="17" borderId="16" xfId="0" applyFont="1" applyFill="1" applyBorder="1" applyAlignment="1" applyProtection="1">
      <alignment horizontal="center" vertical="center"/>
      <protection hidden="1"/>
    </xf>
    <xf numFmtId="0" fontId="20" fillId="17" borderId="17" xfId="0" applyFont="1" applyFill="1" applyBorder="1" applyAlignment="1" applyProtection="1">
      <alignment horizontal="center" vertical="center"/>
      <protection hidden="1"/>
    </xf>
    <xf numFmtId="0" fontId="20" fillId="17" borderId="18" xfId="0" applyFont="1" applyFill="1" applyBorder="1" applyAlignment="1" applyProtection="1">
      <alignment horizontal="center" vertical="center"/>
      <protection hidden="1"/>
    </xf>
    <xf numFmtId="0" fontId="51" fillId="17" borderId="23" xfId="0" applyFont="1" applyFill="1" applyBorder="1" applyAlignment="1">
      <alignment horizontal="center"/>
    </xf>
    <xf numFmtId="0" fontId="20" fillId="17" borderId="16" xfId="0" applyFont="1" applyFill="1" applyBorder="1" applyAlignment="1">
      <alignment horizontal="center"/>
    </xf>
    <xf numFmtId="0" fontId="20" fillId="17" borderId="17" xfId="0" applyFont="1" applyFill="1" applyBorder="1" applyAlignment="1">
      <alignment horizontal="center"/>
    </xf>
    <xf numFmtId="0" fontId="20" fillId="17" borderId="18" xfId="0" applyFont="1" applyFill="1" applyBorder="1" applyAlignment="1">
      <alignment horizontal="center"/>
    </xf>
    <xf numFmtId="0" fontId="51" fillId="9" borderId="23" xfId="0" applyFont="1" applyFill="1" applyBorder="1" applyAlignment="1">
      <alignment horizontal="center"/>
    </xf>
    <xf numFmtId="0" fontId="20" fillId="9" borderId="16" xfId="0" applyFont="1" applyFill="1" applyBorder="1" applyAlignment="1">
      <alignment horizontal="center"/>
    </xf>
    <xf numFmtId="0" fontId="20" fillId="9" borderId="17" xfId="0" applyFont="1" applyFill="1" applyBorder="1" applyAlignment="1">
      <alignment horizontal="center"/>
    </xf>
    <xf numFmtId="0" fontId="20" fillId="9" borderId="18" xfId="0" applyFont="1" applyFill="1" applyBorder="1" applyAlignment="1">
      <alignment horizontal="center"/>
    </xf>
    <xf numFmtId="0" fontId="59" fillId="9" borderId="23" xfId="0" applyFont="1" applyFill="1" applyBorder="1" applyAlignment="1">
      <alignment horizontal="center"/>
    </xf>
    <xf numFmtId="0" fontId="12" fillId="9" borderId="16" xfId="0" applyFont="1" applyFill="1" applyBorder="1" applyAlignment="1">
      <alignment horizontal="center"/>
    </xf>
    <xf numFmtId="0" fontId="12" fillId="9" borderId="17" xfId="0" applyFont="1" applyFill="1" applyBorder="1" applyAlignment="1">
      <alignment horizontal="center"/>
    </xf>
    <xf numFmtId="0" fontId="12" fillId="9" borderId="18" xfId="0" applyFont="1" applyFill="1" applyBorder="1" applyAlignment="1">
      <alignment horizontal="center"/>
    </xf>
    <xf numFmtId="0" fontId="11" fillId="9" borderId="4" xfId="0" applyFont="1" applyFill="1" applyBorder="1" applyAlignment="1" applyProtection="1">
      <alignment horizontal="center"/>
      <protection hidden="1"/>
    </xf>
    <xf numFmtId="0" fontId="12" fillId="9" borderId="4" xfId="0" applyFont="1" applyFill="1" applyBorder="1" applyAlignment="1" applyProtection="1">
      <alignment horizontal="center"/>
      <protection hidden="1"/>
    </xf>
    <xf numFmtId="0" fontId="51" fillId="9" borderId="4" xfId="0" applyFont="1" applyFill="1" applyBorder="1" applyAlignment="1">
      <alignment horizontal="center"/>
    </xf>
    <xf numFmtId="0" fontId="19" fillId="5" borderId="3" xfId="0" applyFont="1" applyFill="1" applyBorder="1" applyAlignment="1" applyProtection="1">
      <alignment horizontal="center"/>
      <protection hidden="1"/>
    </xf>
    <xf numFmtId="0" fontId="11" fillId="9" borderId="4" xfId="0" applyFont="1" applyFill="1" applyBorder="1" applyAlignment="1" applyProtection="1">
      <alignment horizontal="center" vertical="center"/>
      <protection hidden="1"/>
    </xf>
    <xf numFmtId="0" fontId="12" fillId="9" borderId="4" xfId="0" applyFont="1" applyFill="1" applyBorder="1" applyAlignment="1" applyProtection="1">
      <alignment horizontal="center" vertical="center"/>
      <protection hidden="1"/>
    </xf>
    <xf numFmtId="0" fontId="0" fillId="9" borderId="16" xfId="0" applyFill="1" applyBorder="1" applyAlignment="1" applyProtection="1">
      <alignment horizontal="center"/>
      <protection hidden="1"/>
    </xf>
    <xf numFmtId="0" fontId="0" fillId="9" borderId="17" xfId="0" applyFill="1" applyBorder="1" applyAlignment="1" applyProtection="1">
      <alignment horizontal="center"/>
      <protection hidden="1"/>
    </xf>
    <xf numFmtId="0" fontId="0" fillId="9" borderId="18" xfId="0" applyFill="1" applyBorder="1" applyAlignment="1" applyProtection="1">
      <alignment horizontal="center"/>
      <protection hidden="1"/>
    </xf>
    <xf numFmtId="0" fontId="20" fillId="17" borderId="41" xfId="0" applyFont="1" applyFill="1" applyBorder="1" applyAlignment="1" applyProtection="1">
      <alignment horizontal="center"/>
      <protection hidden="1"/>
    </xf>
    <xf numFmtId="0" fontId="20" fillId="17" borderId="39" xfId="0" applyFont="1" applyFill="1" applyBorder="1" applyAlignment="1" applyProtection="1">
      <alignment horizontal="center"/>
      <protection hidden="1"/>
    </xf>
    <xf numFmtId="0" fontId="20" fillId="17" borderId="42" xfId="0" applyFont="1" applyFill="1" applyBorder="1" applyAlignment="1" applyProtection="1">
      <alignment horizontal="center"/>
      <protection hidden="1"/>
    </xf>
    <xf numFmtId="0" fontId="11" fillId="17" borderId="4" xfId="0" applyFont="1" applyFill="1" applyBorder="1" applyAlignment="1" applyProtection="1">
      <alignment horizontal="center"/>
      <protection hidden="1"/>
    </xf>
    <xf numFmtId="0" fontId="12" fillId="17" borderId="4" xfId="0" applyFont="1" applyFill="1" applyBorder="1" applyAlignment="1" applyProtection="1">
      <alignment horizontal="center"/>
      <protection hidden="1"/>
    </xf>
    <xf numFmtId="0" fontId="12" fillId="17" borderId="16" xfId="0" applyFont="1" applyFill="1" applyBorder="1" applyAlignment="1" applyProtection="1">
      <alignment horizontal="center"/>
      <protection hidden="1"/>
    </xf>
    <xf numFmtId="0" fontId="12" fillId="17" borderId="17" xfId="0" applyFont="1" applyFill="1" applyBorder="1" applyAlignment="1" applyProtection="1">
      <alignment horizontal="center"/>
      <protection hidden="1"/>
    </xf>
    <xf numFmtId="0" fontId="12" fillId="17" borderId="18" xfId="0" applyFont="1" applyFill="1" applyBorder="1" applyAlignment="1" applyProtection="1">
      <alignment horizontal="center"/>
      <protection hidden="1"/>
    </xf>
    <xf numFmtId="0" fontId="11" fillId="17" borderId="57" xfId="0" applyFont="1" applyFill="1" applyBorder="1" applyAlignment="1" applyProtection="1">
      <alignment horizontal="center"/>
      <protection hidden="1"/>
    </xf>
    <xf numFmtId="0" fontId="12" fillId="17" borderId="52" xfId="0" applyFont="1" applyFill="1" applyBorder="1" applyAlignment="1" applyProtection="1">
      <alignment horizontal="center"/>
      <protection hidden="1"/>
    </xf>
    <xf numFmtId="0" fontId="12" fillId="17" borderId="47" xfId="0" applyFont="1" applyFill="1" applyBorder="1" applyAlignment="1" applyProtection="1">
      <alignment horizontal="center"/>
      <protection hidden="1"/>
    </xf>
    <xf numFmtId="0" fontId="12" fillId="9" borderId="57" xfId="0" applyFont="1" applyFill="1" applyBorder="1" applyAlignment="1" applyProtection="1">
      <alignment horizontal="center"/>
      <protection hidden="1"/>
    </xf>
    <xf numFmtId="0" fontId="12" fillId="9" borderId="52" xfId="0" applyFont="1" applyFill="1" applyBorder="1" applyAlignment="1" applyProtection="1">
      <alignment horizontal="center"/>
      <protection hidden="1"/>
    </xf>
    <xf numFmtId="0" fontId="12" fillId="9" borderId="47" xfId="0" applyFont="1" applyFill="1" applyBorder="1" applyAlignment="1" applyProtection="1">
      <alignment horizontal="center"/>
      <protection hidden="1"/>
    </xf>
    <xf numFmtId="0" fontId="13" fillId="5" borderId="5" xfId="0" applyFont="1" applyFill="1" applyBorder="1" applyAlignment="1" applyProtection="1">
      <alignment horizontal="center"/>
      <protection hidden="1"/>
    </xf>
    <xf numFmtId="0" fontId="13" fillId="5" borderId="56" xfId="0" applyFont="1" applyFill="1" applyBorder="1" applyAlignment="1" applyProtection="1">
      <alignment horizontal="center"/>
      <protection hidden="1"/>
    </xf>
    <xf numFmtId="0" fontId="13" fillId="5" borderId="7" xfId="0" applyFont="1" applyFill="1" applyBorder="1" applyAlignment="1" applyProtection="1">
      <alignment horizontal="center"/>
      <protection hidden="1"/>
    </xf>
    <xf numFmtId="0" fontId="13" fillId="5" borderId="0" xfId="0" applyFont="1" applyFill="1" applyAlignment="1">
      <alignment horizontal="center"/>
    </xf>
    <xf numFmtId="0" fontId="13" fillId="5" borderId="5" xfId="0" applyFont="1" applyFill="1" applyBorder="1" applyAlignment="1">
      <alignment horizontal="center"/>
    </xf>
    <xf numFmtId="0" fontId="13" fillId="5" borderId="56" xfId="0" applyFont="1" applyFill="1" applyBorder="1" applyAlignment="1">
      <alignment horizontal="center"/>
    </xf>
    <xf numFmtId="0" fontId="13" fillId="5" borderId="7" xfId="0" applyFont="1" applyFill="1" applyBorder="1" applyAlignment="1">
      <alignment horizontal="center"/>
    </xf>
    <xf numFmtId="0" fontId="51" fillId="17" borderId="4" xfId="0" applyFont="1" applyFill="1" applyBorder="1" applyAlignment="1">
      <alignment horizontal="center"/>
    </xf>
    <xf numFmtId="0" fontId="51" fillId="9" borderId="48" xfId="0" applyFont="1" applyFill="1" applyBorder="1" applyAlignment="1">
      <alignment horizontal="center"/>
    </xf>
    <xf numFmtId="0" fontId="51" fillId="9" borderId="0" xfId="0" applyFont="1" applyFill="1" applyAlignment="1">
      <alignment horizontal="center"/>
    </xf>
    <xf numFmtId="0" fontId="51" fillId="9" borderId="51" xfId="0" applyFont="1" applyFill="1" applyBorder="1" applyAlignment="1">
      <alignment horizontal="center"/>
    </xf>
    <xf numFmtId="0" fontId="20" fillId="9" borderId="16" xfId="0" applyFont="1" applyFill="1" applyBorder="1" applyAlignment="1">
      <alignment horizontal="center" vertical="center"/>
    </xf>
    <xf numFmtId="0" fontId="20" fillId="9" borderId="17" xfId="0" applyFont="1" applyFill="1" applyBorder="1" applyAlignment="1">
      <alignment horizontal="center" vertical="center"/>
    </xf>
    <xf numFmtId="0" fontId="20" fillId="9" borderId="18" xfId="0" applyFont="1" applyFill="1" applyBorder="1" applyAlignment="1">
      <alignment horizontal="center" vertical="center"/>
    </xf>
    <xf numFmtId="0" fontId="53" fillId="17" borderId="23" xfId="0" applyFont="1" applyFill="1" applyBorder="1" applyAlignment="1">
      <alignment horizontal="center"/>
    </xf>
    <xf numFmtId="0" fontId="20" fillId="17" borderId="16" xfId="0" applyFont="1" applyFill="1" applyBorder="1" applyAlignment="1">
      <alignment horizontal="center" vertical="center"/>
    </xf>
    <xf numFmtId="0" fontId="20" fillId="17" borderId="17" xfId="0" applyFont="1" applyFill="1" applyBorder="1" applyAlignment="1">
      <alignment horizontal="center" vertical="center"/>
    </xf>
    <xf numFmtId="0" fontId="20" fillId="17" borderId="18" xfId="0" applyFont="1" applyFill="1" applyBorder="1" applyAlignment="1">
      <alignment horizontal="center" vertical="center"/>
    </xf>
    <xf numFmtId="0" fontId="51" fillId="9" borderId="23" xfId="0" applyFont="1" applyFill="1" applyBorder="1" applyAlignment="1">
      <alignment horizontal="center" vertical="center" wrapText="1"/>
    </xf>
    <xf numFmtId="0" fontId="20" fillId="9" borderId="16" xfId="0" applyFont="1" applyFill="1" applyBorder="1" applyAlignment="1">
      <alignment horizontal="center" vertical="center" wrapText="1"/>
    </xf>
    <xf numFmtId="0" fontId="20" fillId="9" borderId="17" xfId="0" applyFont="1" applyFill="1" applyBorder="1" applyAlignment="1">
      <alignment horizontal="center" vertical="center" wrapText="1"/>
    </xf>
    <xf numFmtId="0" fontId="20" fillId="9" borderId="18" xfId="0" applyFont="1" applyFill="1" applyBorder="1" applyAlignment="1">
      <alignment horizontal="center" vertical="center" wrapText="1"/>
    </xf>
    <xf numFmtId="0" fontId="51" fillId="9" borderId="48" xfId="0" applyFont="1" applyFill="1" applyBorder="1" applyAlignment="1">
      <alignment horizontal="center" vertical="center" wrapText="1"/>
    </xf>
    <xf numFmtId="0" fontId="51" fillId="9" borderId="0" xfId="0" applyFont="1" applyFill="1" applyAlignment="1">
      <alignment horizontal="center" vertical="center" wrapText="1"/>
    </xf>
    <xf numFmtId="0" fontId="51" fillId="9" borderId="51" xfId="0" applyFont="1" applyFill="1" applyBorder="1" applyAlignment="1">
      <alignment horizontal="center" vertical="center" wrapText="1"/>
    </xf>
    <xf numFmtId="0" fontId="12" fillId="9" borderId="16" xfId="0" applyFont="1" applyFill="1" applyBorder="1" applyAlignment="1" applyProtection="1">
      <alignment horizontal="center"/>
      <protection hidden="1"/>
    </xf>
    <xf numFmtId="0" fontId="12" fillId="9" borderId="17" xfId="0" applyFont="1" applyFill="1" applyBorder="1" applyAlignment="1" applyProtection="1">
      <alignment horizontal="center"/>
      <protection hidden="1"/>
    </xf>
    <xf numFmtId="0" fontId="12" fillId="9" borderId="18" xfId="0" applyFont="1" applyFill="1" applyBorder="1" applyAlignment="1" applyProtection="1">
      <alignment horizontal="center"/>
      <protection hidden="1"/>
    </xf>
    <xf numFmtId="0" fontId="12" fillId="9" borderId="16" xfId="0" applyFont="1" applyFill="1" applyBorder="1" applyAlignment="1" applyProtection="1">
      <alignment horizontal="center" vertical="center"/>
      <protection hidden="1"/>
    </xf>
    <xf numFmtId="0" fontId="12" fillId="9" borderId="17" xfId="0" applyFont="1" applyFill="1" applyBorder="1" applyAlignment="1" applyProtection="1">
      <alignment horizontal="center" vertical="center"/>
      <protection hidden="1"/>
    </xf>
    <xf numFmtId="0" fontId="12" fillId="9" borderId="18" xfId="0" applyFont="1" applyFill="1" applyBorder="1" applyAlignment="1" applyProtection="1">
      <alignment horizontal="center" vertical="center"/>
      <protection hidden="1"/>
    </xf>
    <xf numFmtId="0" fontId="16" fillId="19" borderId="3" xfId="0" applyFont="1" applyFill="1" applyBorder="1" applyAlignment="1">
      <alignment horizontal="center" vertical="center"/>
    </xf>
    <xf numFmtId="0" fontId="13" fillId="5" borderId="3" xfId="0" applyFont="1" applyFill="1" applyBorder="1" applyAlignment="1">
      <alignment horizontal="center" vertical="center"/>
    </xf>
    <xf numFmtId="0" fontId="16" fillId="9" borderId="48" xfId="0" applyFont="1" applyFill="1" applyBorder="1" applyAlignment="1" applyProtection="1">
      <alignment horizontal="center"/>
      <protection hidden="1"/>
    </xf>
    <xf numFmtId="12" fontId="19" fillId="24" borderId="56" xfId="0" applyNumberFormat="1" applyFont="1" applyFill="1" applyBorder="1" applyAlignment="1">
      <alignment horizontal="center"/>
    </xf>
    <xf numFmtId="0" fontId="12" fillId="21" borderId="5" xfId="0" applyFont="1" applyFill="1" applyBorder="1" applyAlignment="1">
      <alignment horizontal="center"/>
    </xf>
    <xf numFmtId="0" fontId="12" fillId="21" borderId="56" xfId="0" applyFont="1" applyFill="1" applyBorder="1" applyAlignment="1">
      <alignment horizontal="center"/>
    </xf>
    <xf numFmtId="0" fontId="12" fillId="21" borderId="7" xfId="0" applyFont="1" applyFill="1" applyBorder="1" applyAlignment="1">
      <alignment horizontal="center"/>
    </xf>
    <xf numFmtId="0" fontId="19" fillId="22" borderId="5" xfId="0" applyFont="1" applyFill="1" applyBorder="1" applyAlignment="1">
      <alignment horizontal="center"/>
    </xf>
    <xf numFmtId="0" fontId="19" fillId="22" borderId="56" xfId="0" applyFont="1" applyFill="1" applyBorder="1" applyAlignment="1">
      <alignment horizontal="center"/>
    </xf>
    <xf numFmtId="0" fontId="19" fillId="22" borderId="7" xfId="0" applyFont="1" applyFill="1" applyBorder="1" applyAlignment="1">
      <alignment horizontal="center"/>
    </xf>
    <xf numFmtId="0" fontId="19" fillId="24" borderId="0" xfId="0" applyFont="1" applyFill="1" applyAlignment="1">
      <alignment horizontal="center"/>
    </xf>
    <xf numFmtId="0" fontId="19" fillId="24" borderId="5" xfId="0" applyFont="1" applyFill="1" applyBorder="1" applyAlignment="1">
      <alignment horizontal="center"/>
    </xf>
    <xf numFmtId="0" fontId="19" fillId="24" borderId="56" xfId="0" applyFont="1" applyFill="1" applyBorder="1" applyAlignment="1">
      <alignment horizontal="center"/>
    </xf>
    <xf numFmtId="0" fontId="21" fillId="0" borderId="30" xfId="0" applyFont="1" applyBorder="1" applyAlignment="1">
      <alignment horizontal="center" vertical="center"/>
    </xf>
    <xf numFmtId="0" fontId="21" fillId="0" borderId="31" xfId="0" applyFont="1" applyBorder="1" applyAlignment="1">
      <alignment horizontal="center" vertical="center"/>
    </xf>
    <xf numFmtId="0" fontId="21" fillId="0" borderId="32" xfId="0" applyFont="1" applyBorder="1" applyAlignment="1">
      <alignment horizontal="center" vertical="center"/>
    </xf>
    <xf numFmtId="0" fontId="21" fillId="0" borderId="33" xfId="0" applyFont="1" applyBorder="1" applyAlignment="1">
      <alignment horizontal="center" vertical="center"/>
    </xf>
    <xf numFmtId="0" fontId="21" fillId="0" borderId="0" xfId="0" applyFont="1" applyAlignment="1">
      <alignment horizontal="center" vertical="center"/>
    </xf>
    <xf numFmtId="0" fontId="21" fillId="0" borderId="19" xfId="0" applyFont="1" applyBorder="1" applyAlignment="1">
      <alignment horizontal="center" vertical="center"/>
    </xf>
    <xf numFmtId="0" fontId="21" fillId="0" borderId="34" xfId="0" applyFont="1" applyBorder="1" applyAlignment="1">
      <alignment horizontal="center" vertical="center"/>
    </xf>
    <xf numFmtId="0" fontId="21" fillId="0" borderId="35" xfId="0" applyFont="1" applyBorder="1" applyAlignment="1">
      <alignment horizontal="center" vertical="center"/>
    </xf>
    <xf numFmtId="0" fontId="21" fillId="0" borderId="45" xfId="0" applyFont="1" applyBorder="1" applyAlignment="1">
      <alignment horizontal="center" vertical="center"/>
    </xf>
    <xf numFmtId="0" fontId="12" fillId="21" borderId="16" xfId="0" applyFont="1" applyFill="1" applyBorder="1" applyAlignment="1" applyProtection="1">
      <alignment horizontal="center"/>
      <protection locked="0"/>
    </xf>
    <xf numFmtId="0" fontId="12" fillId="21" borderId="17" xfId="0" applyFont="1" applyFill="1" applyBorder="1" applyAlignment="1" applyProtection="1">
      <alignment horizontal="center"/>
      <protection locked="0"/>
    </xf>
    <xf numFmtId="0" fontId="12" fillId="21" borderId="18" xfId="0" applyFont="1" applyFill="1" applyBorder="1" applyAlignment="1" applyProtection="1">
      <alignment horizontal="center"/>
      <protection locked="0"/>
    </xf>
    <xf numFmtId="0" fontId="12" fillId="0" borderId="3" xfId="0" applyFont="1" applyBorder="1" applyAlignment="1">
      <alignment horizontal="center" vertical="center" wrapText="1"/>
    </xf>
    <xf numFmtId="12" fontId="19" fillId="24" borderId="4" xfId="0" applyNumberFormat="1" applyFont="1" applyFill="1" applyBorder="1" applyAlignment="1" applyProtection="1">
      <alignment horizontal="center"/>
      <protection locked="0"/>
    </xf>
    <xf numFmtId="0" fontId="19" fillId="24" borderId="4" xfId="0" applyFont="1" applyFill="1" applyBorder="1" applyAlignment="1" applyProtection="1">
      <alignment horizontal="center"/>
      <protection locked="0"/>
    </xf>
    <xf numFmtId="0" fontId="23" fillId="34" borderId="3" xfId="0" applyFont="1" applyFill="1" applyBorder="1" applyAlignment="1" applyProtection="1">
      <alignment horizontal="center"/>
      <protection hidden="1"/>
    </xf>
    <xf numFmtId="0" fontId="12" fillId="25" borderId="3" xfId="0" applyFont="1" applyFill="1" applyBorder="1" applyAlignment="1">
      <alignment horizontal="center" vertical="center"/>
    </xf>
    <xf numFmtId="0" fontId="12" fillId="21" borderId="16" xfId="0" applyFont="1" applyFill="1" applyBorder="1" applyAlignment="1">
      <alignment horizontal="center"/>
    </xf>
    <xf numFmtId="0" fontId="12" fillId="21" borderId="17" xfId="0" applyFont="1" applyFill="1" applyBorder="1" applyAlignment="1">
      <alignment horizontal="center"/>
    </xf>
    <xf numFmtId="0" fontId="12" fillId="21" borderId="18" xfId="0" applyFont="1" applyFill="1" applyBorder="1" applyAlignment="1">
      <alignment horizontal="center"/>
    </xf>
    <xf numFmtId="0" fontId="19" fillId="22" borderId="3" xfId="0" applyFont="1" applyFill="1" applyBorder="1" applyAlignment="1">
      <alignment horizontal="center"/>
    </xf>
    <xf numFmtId="0" fontId="11" fillId="21" borderId="3" xfId="0" applyFont="1" applyFill="1" applyBorder="1" applyAlignment="1" applyProtection="1">
      <alignment horizontal="center"/>
      <protection hidden="1"/>
    </xf>
    <xf numFmtId="12" fontId="19" fillId="24" borderId="4" xfId="0" applyNumberFormat="1" applyFont="1" applyFill="1" applyBorder="1" applyAlignment="1" applyProtection="1">
      <alignment horizontal="center"/>
      <protection hidden="1"/>
    </xf>
    <xf numFmtId="0" fontId="19" fillId="24" borderId="4" xfId="0" applyFont="1" applyFill="1" applyBorder="1" applyAlignment="1" applyProtection="1">
      <alignment horizontal="center"/>
      <protection hidden="1"/>
    </xf>
    <xf numFmtId="0" fontId="19" fillId="22" borderId="18" xfId="0" applyFont="1" applyFill="1" applyBorder="1" applyAlignment="1">
      <alignment horizontal="center"/>
    </xf>
    <xf numFmtId="0" fontId="27" fillId="0" borderId="30" xfId="0" applyFont="1" applyBorder="1" applyAlignment="1">
      <alignment horizontal="center" vertical="center"/>
    </xf>
    <xf numFmtId="0" fontId="27" fillId="0" borderId="32" xfId="0" applyFont="1" applyBorder="1" applyAlignment="1">
      <alignment horizontal="center" vertical="center"/>
    </xf>
    <xf numFmtId="0" fontId="27" fillId="0" borderId="33" xfId="0" applyFont="1" applyBorder="1" applyAlignment="1">
      <alignment horizontal="center" vertical="center"/>
    </xf>
    <xf numFmtId="0" fontId="27" fillId="0" borderId="19" xfId="0" applyFont="1" applyBorder="1" applyAlignment="1">
      <alignment horizontal="center" vertical="center"/>
    </xf>
    <xf numFmtId="0" fontId="27" fillId="0" borderId="34" xfId="0" applyFont="1" applyBorder="1" applyAlignment="1">
      <alignment horizontal="center" vertical="center"/>
    </xf>
    <xf numFmtId="0" fontId="27" fillId="0" borderId="45" xfId="0" applyFont="1" applyBorder="1" applyAlignment="1">
      <alignment horizontal="center" vertical="center"/>
    </xf>
    <xf numFmtId="0" fontId="27" fillId="0" borderId="31" xfId="0" applyFont="1" applyBorder="1" applyAlignment="1">
      <alignment horizontal="center" vertical="center"/>
    </xf>
    <xf numFmtId="0" fontId="27" fillId="0" borderId="0" xfId="0" applyFont="1" applyAlignment="1">
      <alignment horizontal="center" vertical="center"/>
    </xf>
    <xf numFmtId="0" fontId="27" fillId="0" borderId="35" xfId="0" applyFont="1" applyBorder="1" applyAlignment="1">
      <alignment horizontal="center" vertical="center"/>
    </xf>
    <xf numFmtId="0" fontId="28" fillId="0" borderId="0" xfId="0" applyFont="1" applyAlignment="1">
      <alignment horizontal="left"/>
    </xf>
    <xf numFmtId="0" fontId="28" fillId="0" borderId="0" xfId="0" applyFont="1" applyAlignment="1">
      <alignment horizontal="center"/>
    </xf>
    <xf numFmtId="0" fontId="26" fillId="0" borderId="3" xfId="0" applyFont="1" applyBorder="1" applyAlignment="1">
      <alignment horizontal="left"/>
    </xf>
    <xf numFmtId="0" fontId="12" fillId="25" borderId="3" xfId="0" applyFont="1" applyFill="1" applyBorder="1" applyAlignment="1">
      <alignment horizontal="center"/>
    </xf>
    <xf numFmtId="0" fontId="22" fillId="0" borderId="30" xfId="0" applyFont="1" applyBorder="1" applyAlignment="1">
      <alignment horizontal="center"/>
    </xf>
    <xf numFmtId="0" fontId="22" fillId="0" borderId="32" xfId="0" applyFont="1" applyBorder="1" applyAlignment="1">
      <alignment horizontal="center"/>
    </xf>
    <xf numFmtId="0" fontId="22" fillId="0" borderId="34" xfId="0" applyFont="1" applyBorder="1" applyAlignment="1">
      <alignment horizontal="center"/>
    </xf>
    <xf numFmtId="0" fontId="22" fillId="0" borderId="45" xfId="0" applyFont="1" applyBorder="1" applyAlignment="1">
      <alignment horizontal="center"/>
    </xf>
    <xf numFmtId="0" fontId="34" fillId="15" borderId="8" xfId="0" applyFont="1" applyFill="1" applyBorder="1" applyAlignment="1">
      <alignment horizontal="center"/>
    </xf>
    <xf numFmtId="0" fontId="34" fillId="15" borderId="14" xfId="0" applyFont="1" applyFill="1" applyBorder="1" applyAlignment="1">
      <alignment horizontal="center"/>
    </xf>
    <xf numFmtId="0" fontId="34" fillId="15" borderId="9" xfId="0" applyFont="1" applyFill="1" applyBorder="1" applyAlignment="1">
      <alignment horizontal="center"/>
    </xf>
    <xf numFmtId="0" fontId="33" fillId="0" borderId="10" xfId="0" applyFont="1" applyBorder="1" applyAlignment="1">
      <alignment horizontal="center"/>
    </xf>
    <xf numFmtId="0" fontId="33" fillId="0" borderId="3" xfId="0" applyFont="1" applyBorder="1" applyAlignment="1">
      <alignment horizontal="center"/>
    </xf>
    <xf numFmtId="0" fontId="33" fillId="0" borderId="11" xfId="0" applyFont="1" applyBorder="1" applyAlignment="1">
      <alignment horizontal="center"/>
    </xf>
    <xf numFmtId="0" fontId="29" fillId="11" borderId="20" xfId="0" applyFont="1" applyFill="1" applyBorder="1" applyAlignment="1">
      <alignment horizontal="center" vertical="center"/>
    </xf>
    <xf numFmtId="0" fontId="29" fillId="11" borderId="21" xfId="0" applyFont="1" applyFill="1" applyBorder="1" applyAlignment="1">
      <alignment horizontal="center" vertical="center"/>
    </xf>
    <xf numFmtId="0" fontId="30" fillId="11" borderId="14" xfId="0" applyFont="1" applyFill="1" applyBorder="1" applyAlignment="1">
      <alignment horizontal="center" vertical="center"/>
    </xf>
    <xf numFmtId="0" fontId="30" fillId="11" borderId="9" xfId="0" applyFont="1" applyFill="1" applyBorder="1" applyAlignment="1">
      <alignment horizontal="center" vertical="center"/>
    </xf>
    <xf numFmtId="0" fontId="33" fillId="15" borderId="10" xfId="0" applyFont="1" applyFill="1" applyBorder="1" applyAlignment="1">
      <alignment horizontal="center"/>
    </xf>
    <xf numFmtId="0" fontId="33" fillId="15" borderId="3" xfId="0" applyFont="1" applyFill="1" applyBorder="1" applyAlignment="1">
      <alignment horizontal="center"/>
    </xf>
    <xf numFmtId="0" fontId="33" fillId="15" borderId="11" xfId="0" applyFont="1" applyFill="1" applyBorder="1" applyAlignment="1">
      <alignment horizontal="center"/>
    </xf>
    <xf numFmtId="0" fontId="38" fillId="22" borderId="10" xfId="0" applyFont="1" applyFill="1" applyBorder="1" applyAlignment="1">
      <alignment horizontal="center" vertical="center"/>
    </xf>
    <xf numFmtId="0" fontId="38" fillId="22" borderId="3" xfId="0" applyFont="1" applyFill="1" applyBorder="1" applyAlignment="1">
      <alignment horizontal="center" vertical="center"/>
    </xf>
    <xf numFmtId="0" fontId="38" fillId="22" borderId="11" xfId="0" applyFont="1" applyFill="1" applyBorder="1" applyAlignment="1">
      <alignment horizontal="center" vertical="center"/>
    </xf>
    <xf numFmtId="0" fontId="38" fillId="22" borderId="8" xfId="0" applyFont="1" applyFill="1" applyBorder="1" applyAlignment="1">
      <alignment horizontal="center" vertical="center"/>
    </xf>
    <xf numFmtId="0" fontId="38" fillId="22" borderId="14" xfId="0" applyFont="1" applyFill="1" applyBorder="1" applyAlignment="1">
      <alignment horizontal="center" vertical="center"/>
    </xf>
    <xf numFmtId="0" fontId="38" fillId="22" borderId="9" xfId="0" applyFont="1" applyFill="1" applyBorder="1" applyAlignment="1">
      <alignment horizontal="center" vertical="center"/>
    </xf>
    <xf numFmtId="0" fontId="27" fillId="0" borderId="9" xfId="0" applyFont="1" applyBorder="1" applyAlignment="1" applyProtection="1">
      <alignment horizontal="center" vertical="center" wrapText="1"/>
      <protection hidden="1"/>
    </xf>
    <xf numFmtId="0" fontId="27" fillId="0" borderId="13" xfId="0" applyFont="1" applyBorder="1" applyAlignment="1" applyProtection="1">
      <alignment horizontal="center" vertical="center" wrapText="1"/>
      <protection hidden="1"/>
    </xf>
    <xf numFmtId="0" fontId="41" fillId="0" borderId="9" xfId="0" applyFont="1" applyBorder="1" applyAlignment="1">
      <alignment horizontal="center" vertical="center" wrapText="1"/>
    </xf>
    <xf numFmtId="0" fontId="41" fillId="0" borderId="13" xfId="0" applyFont="1" applyBorder="1" applyAlignment="1">
      <alignment horizontal="center" vertical="center" wrapText="1"/>
    </xf>
    <xf numFmtId="0" fontId="28" fillId="0" borderId="14" xfId="0" applyFont="1" applyBorder="1" applyAlignment="1">
      <alignment horizontal="center" vertical="center" wrapText="1"/>
    </xf>
    <xf numFmtId="0" fontId="28" fillId="0" borderId="15" xfId="0" applyFont="1" applyBorder="1" applyAlignment="1">
      <alignment horizontal="center" vertical="center" wrapText="1"/>
    </xf>
    <xf numFmtId="0" fontId="28" fillId="0" borderId="12" xfId="0" applyFont="1" applyBorder="1" applyAlignment="1">
      <alignment horizontal="left" indent="1"/>
    </xf>
    <xf numFmtId="0" fontId="28" fillId="0" borderId="15" xfId="0" applyFont="1" applyBorder="1" applyAlignment="1">
      <alignment horizontal="left" indent="1"/>
    </xf>
    <xf numFmtId="0" fontId="28" fillId="0" borderId="8" xfId="0" applyFont="1" applyBorder="1" applyAlignment="1">
      <alignment horizontal="center" vertical="center" wrapText="1"/>
    </xf>
    <xf numFmtId="0" fontId="28" fillId="0" borderId="12" xfId="0" applyFont="1" applyBorder="1" applyAlignment="1">
      <alignment horizontal="center" vertical="center" wrapText="1"/>
    </xf>
    <xf numFmtId="10" fontId="28" fillId="27" borderId="14" xfId="0" applyNumberFormat="1" applyFont="1" applyFill="1" applyBorder="1" applyAlignment="1" applyProtection="1">
      <alignment horizontal="center"/>
      <protection hidden="1"/>
    </xf>
    <xf numFmtId="0" fontId="28" fillId="27" borderId="15" xfId="0" applyFont="1" applyFill="1" applyBorder="1" applyAlignment="1" applyProtection="1">
      <alignment horizontal="center"/>
      <protection hidden="1"/>
    </xf>
    <xf numFmtId="0" fontId="28" fillId="27" borderId="14" xfId="0" applyFont="1" applyFill="1" applyBorder="1" applyAlignment="1" applyProtection="1">
      <alignment horizontal="center"/>
      <protection hidden="1"/>
    </xf>
    <xf numFmtId="0" fontId="28" fillId="0" borderId="8" xfId="0" applyFont="1" applyBorder="1" applyAlignment="1">
      <alignment horizontal="center" wrapText="1"/>
    </xf>
    <xf numFmtId="0" fontId="28" fillId="0" borderId="14" xfId="0" applyFont="1" applyBorder="1" applyAlignment="1">
      <alignment horizontal="center" wrapText="1"/>
    </xf>
    <xf numFmtId="0" fontId="28" fillId="0" borderId="12" xfId="0" applyFont="1" applyBorder="1" applyAlignment="1">
      <alignment horizontal="center" wrapText="1"/>
    </xf>
    <xf numFmtId="0" fontId="28" fillId="0" borderId="15" xfId="0" applyFont="1" applyBorder="1" applyAlignment="1">
      <alignment horizontal="center" wrapText="1"/>
    </xf>
    <xf numFmtId="170" fontId="42" fillId="27" borderId="14" xfId="0" applyNumberFormat="1" applyFont="1" applyFill="1" applyBorder="1" applyAlignment="1" applyProtection="1">
      <alignment horizontal="center"/>
      <protection hidden="1"/>
    </xf>
    <xf numFmtId="170" fontId="42" fillId="27" borderId="15" xfId="0" applyNumberFormat="1" applyFont="1" applyFill="1" applyBorder="1" applyAlignment="1" applyProtection="1">
      <alignment horizontal="center"/>
      <protection hidden="1"/>
    </xf>
    <xf numFmtId="0" fontId="40" fillId="0" borderId="14" xfId="0" applyFont="1" applyBorder="1" applyAlignment="1">
      <alignment horizontal="center" vertical="center" wrapText="1"/>
    </xf>
    <xf numFmtId="0" fontId="40" fillId="0" borderId="15" xfId="0" applyFont="1" applyBorder="1" applyAlignment="1">
      <alignment horizontal="center" vertical="center" wrapText="1"/>
    </xf>
    <xf numFmtId="0" fontId="28" fillId="0" borderId="8" xfId="0" applyFont="1" applyBorder="1" applyAlignment="1">
      <alignment horizontal="center"/>
    </xf>
    <xf numFmtId="0" fontId="28" fillId="0" borderId="14" xfId="0" applyFont="1" applyBorder="1" applyAlignment="1">
      <alignment horizontal="center"/>
    </xf>
    <xf numFmtId="0" fontId="28" fillId="0" borderId="10" xfId="0" applyFont="1" applyBorder="1" applyAlignment="1">
      <alignment horizontal="left" indent="1"/>
    </xf>
    <xf numFmtId="0" fontId="28" fillId="0" borderId="3" xfId="0" applyFont="1" applyBorder="1" applyAlignment="1">
      <alignment horizontal="left" indent="1"/>
    </xf>
    <xf numFmtId="0" fontId="28" fillId="0" borderId="46" xfId="0" applyFont="1" applyBorder="1" applyAlignment="1">
      <alignment horizontal="center"/>
    </xf>
    <xf numFmtId="0" fontId="28" fillId="0" borderId="43" xfId="0" applyFont="1" applyBorder="1" applyAlignment="1">
      <alignment horizontal="center"/>
    </xf>
    <xf numFmtId="0" fontId="28" fillId="0" borderId="10" xfId="0" applyFont="1" applyBorder="1" applyAlignment="1" applyProtection="1">
      <alignment horizontal="center" vertical="center" wrapText="1"/>
      <protection hidden="1"/>
    </xf>
    <xf numFmtId="0" fontId="28" fillId="0" borderId="12" xfId="0" applyFont="1" applyBorder="1" applyAlignment="1" applyProtection="1">
      <alignment horizontal="center" vertical="center" wrapText="1"/>
      <protection hidden="1"/>
    </xf>
    <xf numFmtId="0" fontId="26" fillId="0" borderId="36" xfId="0" applyFont="1" applyBorder="1" applyAlignment="1">
      <alignment horizontal="center" vertical="center"/>
    </xf>
    <xf numFmtId="0" fontId="26" fillId="0" borderId="38" xfId="0" applyFont="1" applyBorder="1" applyAlignment="1">
      <alignment horizontal="center" vertical="center"/>
    </xf>
    <xf numFmtId="0" fontId="26" fillId="0" borderId="36" xfId="0" applyFont="1" applyBorder="1" applyAlignment="1">
      <alignment horizontal="center" vertical="center" wrapText="1"/>
    </xf>
    <xf numFmtId="0" fontId="26" fillId="0" borderId="38" xfId="0" applyFont="1" applyBorder="1" applyAlignment="1">
      <alignment horizontal="center" vertical="center" wrapText="1"/>
    </xf>
    <xf numFmtId="10" fontId="33" fillId="29" borderId="32" xfId="0" applyNumberFormat="1" applyFont="1" applyFill="1" applyBorder="1" applyAlignment="1" applyProtection="1">
      <alignment horizontal="center" vertical="center" wrapText="1"/>
      <protection hidden="1"/>
    </xf>
    <xf numFmtId="10" fontId="33" fillId="29" borderId="45" xfId="0" applyNumberFormat="1" applyFont="1" applyFill="1" applyBorder="1" applyAlignment="1" applyProtection="1">
      <alignment horizontal="center" vertical="center" wrapText="1"/>
      <protection hidden="1"/>
    </xf>
    <xf numFmtId="0" fontId="29" fillId="22" borderId="30" xfId="0" applyFont="1" applyFill="1" applyBorder="1" applyAlignment="1">
      <alignment horizontal="center" vertical="center" wrapText="1"/>
    </xf>
    <xf numFmtId="0" fontId="29" fillId="22" borderId="31" xfId="0" applyFont="1" applyFill="1" applyBorder="1" applyAlignment="1">
      <alignment horizontal="center" vertical="center" wrapText="1"/>
    </xf>
    <xf numFmtId="0" fontId="29" fillId="22" borderId="34" xfId="0" applyFont="1" applyFill="1" applyBorder="1" applyAlignment="1">
      <alignment horizontal="center" vertical="center" wrapText="1"/>
    </xf>
    <xf numFmtId="0" fontId="29" fillId="22" borderId="35" xfId="0" applyFont="1" applyFill="1" applyBorder="1" applyAlignment="1">
      <alignment horizontal="center" vertical="center" wrapText="1"/>
    </xf>
    <xf numFmtId="0" fontId="29" fillId="22" borderId="16" xfId="0" applyFont="1" applyFill="1" applyBorder="1" applyAlignment="1">
      <alignment horizontal="center"/>
    </xf>
    <xf numFmtId="0" fontId="29" fillId="22" borderId="17" xfId="0" applyFont="1" applyFill="1" applyBorder="1" applyAlignment="1">
      <alignment horizontal="center"/>
    </xf>
    <xf numFmtId="0" fontId="28" fillId="21" borderId="16" xfId="0" applyFont="1" applyFill="1" applyBorder="1" applyAlignment="1">
      <alignment horizontal="center"/>
    </xf>
    <xf numFmtId="0" fontId="28" fillId="21" borderId="17" xfId="0" applyFont="1" applyFill="1" applyBorder="1" applyAlignment="1">
      <alignment horizontal="center"/>
    </xf>
    <xf numFmtId="0" fontId="28" fillId="21" borderId="18" xfId="0" applyFont="1" applyFill="1" applyBorder="1" applyAlignment="1">
      <alignment horizontal="center"/>
    </xf>
    <xf numFmtId="0" fontId="28" fillId="0" borderId="8" xfId="0" applyFont="1" applyBorder="1" applyAlignment="1">
      <alignment horizontal="left"/>
    </xf>
    <xf numFmtId="0" fontId="28" fillId="0" borderId="14" xfId="0" applyFont="1" applyBorder="1" applyAlignment="1">
      <alignment horizontal="left"/>
    </xf>
    <xf numFmtId="0" fontId="28" fillId="0" borderId="12" xfId="0" applyFont="1" applyBorder="1" applyAlignment="1">
      <alignment horizontal="left"/>
    </xf>
    <xf numFmtId="0" fontId="28" fillId="0" borderId="15" xfId="0" applyFont="1" applyBorder="1" applyAlignment="1">
      <alignment horizontal="left"/>
    </xf>
    <xf numFmtId="0" fontId="28" fillId="0" borderId="8" xfId="0" applyFont="1" applyBorder="1" applyAlignment="1">
      <alignment horizontal="center" vertical="center"/>
    </xf>
    <xf numFmtId="0" fontId="28" fillId="0" borderId="12" xfId="0" applyFont="1" applyBorder="1" applyAlignment="1">
      <alignment horizontal="center" vertical="center"/>
    </xf>
    <xf numFmtId="10" fontId="28" fillId="27" borderId="14" xfId="0" applyNumberFormat="1" applyFont="1" applyFill="1" applyBorder="1" applyAlignment="1" applyProtection="1">
      <alignment horizontal="center" wrapText="1"/>
      <protection hidden="1"/>
    </xf>
    <xf numFmtId="0" fontId="28" fillId="27" borderId="15" xfId="0" applyFont="1" applyFill="1" applyBorder="1" applyAlignment="1" applyProtection="1">
      <alignment horizontal="center" wrapText="1"/>
      <protection hidden="1"/>
    </xf>
    <xf numFmtId="0" fontId="28" fillId="0" borderId="14" xfId="0" applyFont="1" applyBorder="1" applyAlignment="1">
      <alignment horizontal="center" vertical="center"/>
    </xf>
    <xf numFmtId="0" fontId="28" fillId="0" borderId="15" xfId="0" applyFont="1" applyBorder="1" applyAlignment="1">
      <alignment horizontal="center" vertical="center"/>
    </xf>
    <xf numFmtId="10" fontId="28" fillId="4" borderId="14" xfId="4" applyNumberFormat="1" applyFont="1" applyFill="1" applyBorder="1" applyAlignment="1" applyProtection="1">
      <alignment horizontal="center"/>
      <protection hidden="1"/>
    </xf>
    <xf numFmtId="10" fontId="28" fillId="4" borderId="15" xfId="4" applyNumberFormat="1" applyFont="1" applyFill="1" applyBorder="1" applyAlignment="1" applyProtection="1">
      <alignment horizontal="center"/>
      <protection hidden="1"/>
    </xf>
    <xf numFmtId="0" fontId="41" fillId="0" borderId="9" xfId="0" applyFont="1" applyBorder="1" applyAlignment="1">
      <alignment horizontal="center" wrapText="1"/>
    </xf>
    <xf numFmtId="0" fontId="41" fillId="0" borderId="13" xfId="0" applyFont="1" applyBorder="1" applyAlignment="1">
      <alignment horizontal="center" wrapText="1"/>
    </xf>
    <xf numFmtId="0" fontId="28" fillId="0" borderId="27" xfId="0" applyFont="1" applyBorder="1" applyAlignment="1">
      <alignment horizontal="center"/>
    </xf>
    <xf numFmtId="0" fontId="28" fillId="0" borderId="42" xfId="0" applyFont="1" applyBorder="1" applyAlignment="1">
      <alignment horizontal="center"/>
    </xf>
    <xf numFmtId="0" fontId="11" fillId="17" borderId="3" xfId="0" applyFont="1" applyFill="1" applyBorder="1" applyAlignment="1" applyProtection="1">
      <alignment horizontal="center" vertical="center"/>
      <protection locked="0"/>
    </xf>
    <xf numFmtId="0" fontId="12" fillId="0" borderId="16" xfId="0" applyFont="1" applyBorder="1" applyAlignment="1" applyProtection="1">
      <alignment horizontal="center"/>
      <protection locked="0"/>
    </xf>
    <xf numFmtId="0" fontId="12" fillId="0" borderId="17" xfId="0" applyFont="1" applyBorder="1" applyAlignment="1" applyProtection="1">
      <alignment horizontal="center"/>
      <protection locked="0"/>
    </xf>
    <xf numFmtId="0" fontId="12" fillId="0" borderId="18" xfId="0" applyFont="1" applyBorder="1" applyAlignment="1" applyProtection="1">
      <alignment horizontal="center"/>
      <protection locked="0"/>
    </xf>
    <xf numFmtId="0" fontId="12" fillId="32" borderId="16" xfId="0" applyFont="1" applyFill="1" applyBorder="1" applyAlignment="1" applyProtection="1">
      <alignment horizontal="center"/>
      <protection locked="0"/>
    </xf>
    <xf numFmtId="0" fontId="12" fillId="32" borderId="17" xfId="0" applyFont="1" applyFill="1" applyBorder="1" applyAlignment="1" applyProtection="1">
      <alignment horizontal="center"/>
      <protection locked="0"/>
    </xf>
    <xf numFmtId="0" fontId="12" fillId="32" borderId="18" xfId="0" applyFont="1" applyFill="1" applyBorder="1" applyAlignment="1" applyProtection="1">
      <alignment horizontal="center"/>
      <protection locked="0"/>
    </xf>
    <xf numFmtId="0" fontId="12" fillId="17" borderId="6" xfId="0" applyFont="1" applyFill="1" applyBorder="1" applyAlignment="1" applyProtection="1">
      <alignment horizontal="center"/>
      <protection locked="0"/>
    </xf>
    <xf numFmtId="0" fontId="26" fillId="17" borderId="3" xfId="0" applyFont="1" applyFill="1" applyBorder="1" applyAlignment="1" applyProtection="1">
      <alignment horizontal="center" vertical="center"/>
      <protection locked="0"/>
    </xf>
    <xf numFmtId="0" fontId="12" fillId="17" borderId="3" xfId="0" applyFont="1" applyFill="1" applyBorder="1" applyAlignment="1" applyProtection="1">
      <alignment horizontal="center"/>
      <protection locked="0"/>
    </xf>
    <xf numFmtId="0" fontId="11" fillId="17" borderId="3" xfId="0" applyFont="1" applyFill="1" applyBorder="1" applyAlignment="1" applyProtection="1">
      <alignment horizontal="center"/>
      <protection locked="0"/>
    </xf>
  </cellXfs>
  <cellStyles count="7">
    <cellStyle name="Cálculo" xfId="1" builtinId="22"/>
    <cellStyle name="Celda vinculada" xfId="2" builtinId="24"/>
    <cellStyle name="Hipervínculo" xfId="6" builtinId="8"/>
    <cellStyle name="Moneda" xfId="5" builtinId="4"/>
    <cellStyle name="Normal" xfId="0" builtinId="0"/>
    <cellStyle name="Normal 2" xfId="3" xr:uid="{00000000-0005-0000-0000-000005000000}"/>
    <cellStyle name="Porcentaje" xfId="4" builtinId="5"/>
  </cellStyles>
  <dxfs count="959">
    <dxf>
      <font>
        <b val="0"/>
        <i val="0"/>
        <strike val="0"/>
        <condense val="0"/>
        <extend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fill>
        <patternFill patternType="none">
          <fgColor indexed="64"/>
          <bgColor auto="1"/>
        </patternFill>
      </fill>
      <protection locked="0" hidden="0"/>
    </dxf>
    <dxf>
      <protection locked="0" hidden="0"/>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Times New Roman"/>
        <scheme val="none"/>
      </font>
      <numFmt numFmtId="14" formatCode="0.0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fill>
        <patternFill>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fill>
        <patternFill patternType="none">
          <fgColor indexed="64"/>
          <bgColor auto="1"/>
        </patternFill>
      </fill>
      <alignment horizontal="center" textRotation="0" wrapText="0" indent="0" justifyLastLine="0" shrinkToFit="0" readingOrder="0"/>
      <protection locked="1" hidden="1"/>
    </dxf>
    <dxf>
      <font>
        <strike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scheme val="none"/>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scheme val="none"/>
      </font>
      <alignment horizontal="center" textRotation="0" wrapText="0" indent="0" justifyLastLine="0" shrinkToFit="0" readingOrder="0"/>
    </dxf>
    <dxf>
      <font>
        <strike val="0"/>
        <outline val="0"/>
        <shadow val="0"/>
        <u val="none"/>
        <vertAlign val="baseline"/>
        <sz val="12"/>
        <color theme="1"/>
        <name val="Times New Roman"/>
        <scheme val="none"/>
      </font>
      <alignment horizontal="center" textRotation="0" wrapText="0" indent="0" justifyLastLine="0" shrinkToFit="0" readingOrder="0"/>
    </dxf>
    <dxf>
      <font>
        <strike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scheme val="none"/>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Times New Roman"/>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2"/>
        <color theme="1"/>
        <name val="Times New Roman"/>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ill>
        <patternFill patternType="solid">
          <fgColor indexed="64"/>
          <bgColor theme="0"/>
        </patternFill>
      </fill>
    </dxf>
    <dxf>
      <protection locked="1" hidden="0"/>
    </dxf>
    <dxf>
      <font>
        <strike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scheme val="none"/>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theme="1"/>
        <name val="Times New Roman"/>
        <scheme val="none"/>
      </font>
      <fill>
        <patternFill patternType="solid">
          <fgColor indexed="64"/>
          <bgColor theme="0"/>
        </patternFill>
      </fill>
      <alignment horizontal="center" textRotation="0" wrapText="0" indent="0" justifyLastLine="0" shrinkToFit="0" readingOrder="0"/>
      <border diagonalUp="0" diagonalDown="0">
        <left style="thin">
          <color indexed="64"/>
        </left>
        <right/>
        <top/>
        <bottom/>
        <vertical/>
        <horizontal/>
      </border>
      <protection locked="0" hidden="0"/>
    </dxf>
    <dxf>
      <font>
        <strike val="0"/>
        <outline val="0"/>
        <shadow val="0"/>
        <u val="none"/>
        <vertAlign val="baseline"/>
        <sz val="12"/>
        <color theme="1"/>
        <name val="Times New Roman"/>
        <scheme val="none"/>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2"/>
        <color theme="1"/>
        <name val="Times New Roman"/>
        <scheme val="none"/>
      </font>
      <alignment horizontal="center" textRotation="0" wrapText="0" indent="0" justifyLastLine="0" shrinkToFit="0" readingOrder="0"/>
      <protection locked="1" hidden="0"/>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center" textRotation="0" wrapText="1"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2" formatCode="&quot;$&quot;\ #,##0.00;[Red]\-&quot;$&quot;\ #,##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0" formatCode="General"/>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14" formatCode="0.0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3" formatCode="#,##0"/>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numFmt numFmtId="0" formatCode="General"/>
      <fill>
        <patternFill patternType="none">
          <fgColor indexed="64"/>
          <bgColor auto="1"/>
        </patternFill>
      </fill>
      <alignment horizontal="center" vertical="bottom" textRotation="0" wrapText="0" indent="0" justifyLastLine="0" shrinkToFit="0" readingOrder="0"/>
      <protection locked="1" hidden="1"/>
    </dxf>
    <dxf>
      <font>
        <strike val="0"/>
        <outline val="0"/>
        <shadow val="0"/>
        <vertAlign val="baseline"/>
        <sz val="12"/>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font>
        <strike val="0"/>
        <outline val="0"/>
        <shadow val="0"/>
        <vertAlign val="baseline"/>
        <sz val="12"/>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border>
        <bottom style="thin">
          <color indexed="64"/>
        </bottom>
      </border>
    </dxf>
    <dxf>
      <font>
        <strike val="0"/>
        <outline val="0"/>
        <shadow val="0"/>
        <vertAlign val="baseline"/>
        <sz val="12"/>
        <name val="Times New Roman"/>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sz val="12"/>
        <color theme="1"/>
        <name val="Times New Roman"/>
        <scheme val="none"/>
      </font>
      <numFmt numFmtId="10" formatCode="&quot;$&quot;\ #,##0;[Red]\-&quot;$&quot;\ #,##0"/>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scheme val="none"/>
      </font>
      <numFmt numFmtId="10" formatCode="&quot;$&quot;\ #,##0;[Red]\-&quot;$&quot;\ #,##0"/>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numFmt numFmtId="1" formatCode="0"/>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scheme val="none"/>
      </font>
      <alignment horizontal="center" vertical="bottom" textRotation="0" wrapText="0" indent="0" justifyLastLine="0" shrinkToFit="0" readingOrder="0"/>
      <protection locked="0" hidden="0"/>
    </dxf>
  </dxfs>
  <tableStyles count="0" defaultTableStyle="TableStyleMedium2" defaultPivotStyle="PivotStyleLight16"/>
  <colors>
    <mruColors>
      <color rgb="FFAE4891"/>
      <color rgb="FFCC99FF"/>
      <color rgb="FFE5981B"/>
      <color rgb="FFD7F20E"/>
      <color rgb="FFDAAA00"/>
      <color rgb="FFE80ED8"/>
      <color rgb="FFCD297B"/>
      <color rgb="FF2B4995"/>
      <color rgb="FF007D8A"/>
      <color rgb="FF006A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E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CUADRO_DE_COSTOS_Y_GASTOS_FIJOS!$B$4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strRef>
              <c:f>CUADRO_DE_COSTOS_Y_GASTOS_FIJOS!$C$3:$G$3</c:f>
              <c:strCache>
                <c:ptCount val="5"/>
                <c:pt idx="0">
                  <c:v>AÑO 1</c:v>
                </c:pt>
                <c:pt idx="1">
                  <c:v>AÑO 2</c:v>
                </c:pt>
                <c:pt idx="2">
                  <c:v>AÑO 3</c:v>
                </c:pt>
                <c:pt idx="3">
                  <c:v>AÑO 4</c:v>
                </c:pt>
                <c:pt idx="4">
                  <c:v>AÑO 5</c:v>
                </c:pt>
              </c:strCache>
            </c:strRef>
          </c:cat>
          <c:val>
            <c:numRef>
              <c:f>CUADRO_DE_COSTOS_Y_GASTOS_FIJOS!$C$4:$G$4</c:f>
              <c:numCache>
                <c:formatCode>_-"$"\ * #,##0_-;\-"$"\ * #,##0_-;_-"$"\ * "-"??_-;_-@_-</c:formatCode>
                <c:ptCount val="5"/>
                <c:pt idx="0">
                  <c:v>#N/A</c:v>
                </c:pt>
                <c:pt idx="1">
                  <c:v>#N/A</c:v>
                </c:pt>
                <c:pt idx="2">
                  <c:v>#N/A</c:v>
                </c:pt>
                <c:pt idx="3">
                  <c:v>#N/A</c:v>
                </c:pt>
                <c:pt idx="4">
                  <c:v>#N/A</c:v>
                </c:pt>
              </c:numCache>
            </c:numRef>
          </c:val>
          <c:extLst>
            <c:ext xmlns:c16="http://schemas.microsoft.com/office/drawing/2014/chart" uri="{C3380CC4-5D6E-409C-BE32-E72D297353CC}">
              <c16:uniqueId val="{00000000-3DDD-4C6A-AC4D-F44CF69B80C8}"/>
            </c:ext>
          </c:extLst>
        </c:ser>
        <c:ser>
          <c:idx val="1"/>
          <c:order val="1"/>
          <c:tx>
            <c:strRef>
              <c:f>CUADRO_DE_COSTOS_Y_GASTOS_FIJOS!$B$14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CUADRO_DE_COSTOS_Y_GASTOS_FIJOS!$C$3:$G$3</c:f>
              <c:strCache>
                <c:ptCount val="5"/>
                <c:pt idx="0">
                  <c:v>AÑO 1</c:v>
                </c:pt>
                <c:pt idx="1">
                  <c:v>AÑO 2</c:v>
                </c:pt>
                <c:pt idx="2">
                  <c:v>AÑO 3</c:v>
                </c:pt>
                <c:pt idx="3">
                  <c:v>AÑO 4</c:v>
                </c:pt>
                <c:pt idx="4">
                  <c:v>AÑO 5</c:v>
                </c:pt>
              </c:strCache>
            </c:strRef>
          </c:cat>
          <c:val>
            <c:numRef>
              <c:f>CUADRO_DE_COSTOS_Y_GASTOS_FIJOS!$C$14:$G$14</c:f>
              <c:numCache>
                <c:formatCode>_-"$"\ * #,##0_-;\-"$"\ * #,##0_-;_-"$"\ * "-"??_-;_-@_-</c:formatCode>
                <c:ptCount val="5"/>
                <c:pt idx="0">
                  <c:v>#N/A</c:v>
                </c:pt>
                <c:pt idx="1">
                  <c:v>#N/A</c:v>
                </c:pt>
                <c:pt idx="2">
                  <c:v>#N/A</c:v>
                </c:pt>
                <c:pt idx="3">
                  <c:v>#N/A</c:v>
                </c:pt>
                <c:pt idx="4">
                  <c:v>#N/A</c:v>
                </c:pt>
              </c:numCache>
            </c:numRef>
          </c:val>
          <c:extLst>
            <c:ext xmlns:c16="http://schemas.microsoft.com/office/drawing/2014/chart" uri="{C3380CC4-5D6E-409C-BE32-E72D297353CC}">
              <c16:uniqueId val="{00000002-3DDD-4C6A-AC4D-F44CF69B80C8}"/>
            </c:ext>
          </c:extLst>
        </c:ser>
        <c:ser>
          <c:idx val="2"/>
          <c:order val="2"/>
          <c:tx>
            <c:strRef>
              <c:f>CUADRO_DE_COSTOS_Y_GASTOS_FIJOS!$B$13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strRef>
              <c:f>CUADRO_DE_COSTOS_Y_GASTOS_FIJOS!$C$3:$G$3</c:f>
              <c:strCache>
                <c:ptCount val="5"/>
                <c:pt idx="0">
                  <c:v>AÑO 1</c:v>
                </c:pt>
                <c:pt idx="1">
                  <c:v>AÑO 2</c:v>
                </c:pt>
                <c:pt idx="2">
                  <c:v>AÑO 3</c:v>
                </c:pt>
                <c:pt idx="3">
                  <c:v>AÑO 4</c:v>
                </c:pt>
                <c:pt idx="4">
                  <c:v>AÑO 5</c:v>
                </c:pt>
              </c:strCache>
            </c:strRef>
          </c:cat>
          <c:val>
            <c:numRef>
              <c:f>CUADRO_DE_COSTOS_Y_GASTOS_FIJOS!$C$13:$G$13</c:f>
              <c:numCache>
                <c:formatCode>_-"$"\ * #,##0_-;\-"$"\ * #,##0_-;_-"$"\ * "-"??_-;_-@_-</c:formatCode>
                <c:ptCount val="5"/>
                <c:pt idx="0">
                  <c:v>#N/A</c:v>
                </c:pt>
                <c:pt idx="1">
                  <c:v>#N/A</c:v>
                </c:pt>
                <c:pt idx="2">
                  <c:v>#N/A</c:v>
                </c:pt>
                <c:pt idx="3">
                  <c:v>#N/A</c:v>
                </c:pt>
                <c:pt idx="4">
                  <c:v>#N/A</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ES"/>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a:latin typeface="Times New Roman" panose="02020603050405020304" pitchFamily="18" charset="0"/>
                <a:cs typeface="Times New Roman" panose="02020603050405020304" pitchFamily="18" charset="0"/>
              </a:rPr>
              <a:t>PUNTO DE EQUILIBRIO DEL EMPRENDIMIENTO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3"/>
          <c:order val="0"/>
          <c:tx>
            <c:strRef>
              <c:f>PUNTO_DE_EQUILIBRIO!$N$23</c:f>
              <c:strCache>
                <c:ptCount val="1"/>
                <c:pt idx="0">
                  <c:v>Ingresos totales </c:v>
                </c:pt>
              </c:strCache>
            </c:strRef>
          </c:tx>
          <c:spPr>
            <a:ln w="28575" cap="rnd">
              <a:solidFill>
                <a:schemeClr val="accent4"/>
              </a:solidFill>
              <a:round/>
            </a:ln>
            <a:effectLst/>
          </c:spPr>
          <c:marker>
            <c:symbol val="none"/>
          </c:marker>
          <c:cat>
            <c:numRef>
              <c:f>PUNTO_DE_EQUILIBRIO!$O$22:$Q$22</c:f>
              <c:numCache>
                <c:formatCode>#,##0</c:formatCode>
                <c:ptCount val="3"/>
                <c:pt idx="0">
                  <c:v>0</c:v>
                </c:pt>
                <c:pt idx="1">
                  <c:v>#N/A</c:v>
                </c:pt>
                <c:pt idx="2">
                  <c:v>#N/A</c:v>
                </c:pt>
              </c:numCache>
            </c:numRef>
          </c:cat>
          <c:val>
            <c:numRef>
              <c:f>PUNTO_DE_EQUILIBRIO!$O$23:$Q$23</c:f>
              <c:numCache>
                <c:formatCode>"$"#,##0_);[Red]\("$"#,##0\)</c:formatCode>
                <c:ptCount val="3"/>
                <c:pt idx="0">
                  <c:v>0</c:v>
                </c:pt>
                <c:pt idx="1">
                  <c:v>#N/A</c:v>
                </c:pt>
                <c:pt idx="2">
                  <c:v>#N/A</c:v>
                </c:pt>
              </c:numCache>
            </c:numRef>
          </c:val>
          <c:smooth val="0"/>
          <c:extLst>
            <c:ext xmlns:c16="http://schemas.microsoft.com/office/drawing/2014/chart" uri="{C3380CC4-5D6E-409C-BE32-E72D297353CC}">
              <c16:uniqueId val="{00000004-4F24-4A81-93F7-ADAF29F06A96}"/>
            </c:ext>
          </c:extLst>
        </c:ser>
        <c:ser>
          <c:idx val="0"/>
          <c:order val="1"/>
          <c:tx>
            <c:strRef>
              <c:f>PUNTO_DE_EQUILIBRIO!$N$26</c:f>
              <c:strCache>
                <c:ptCount val="1"/>
                <c:pt idx="0">
                  <c:v>Costo total </c:v>
                </c:pt>
              </c:strCache>
            </c:strRef>
          </c:tx>
          <c:spPr>
            <a:ln w="28575" cap="rnd">
              <a:solidFill>
                <a:schemeClr val="accent1"/>
              </a:solidFill>
              <a:round/>
            </a:ln>
            <a:effectLst/>
          </c:spPr>
          <c:marker>
            <c:symbol val="none"/>
          </c:marker>
          <c:cat>
            <c:numRef>
              <c:f>PUNTO_DE_EQUILIBRIO!$O$22:$Q$22</c:f>
              <c:numCache>
                <c:formatCode>#,##0</c:formatCode>
                <c:ptCount val="3"/>
                <c:pt idx="0">
                  <c:v>0</c:v>
                </c:pt>
                <c:pt idx="1">
                  <c:v>#N/A</c:v>
                </c:pt>
                <c:pt idx="2">
                  <c:v>#N/A</c:v>
                </c:pt>
              </c:numCache>
            </c:numRef>
          </c:cat>
          <c:val>
            <c:numRef>
              <c:f>PUNTO_DE_EQUILIBRIO!$O$26:$Q$26</c:f>
              <c:numCache>
                <c:formatCode>"$"#,##0_);[Red]\("$"#,##0\)</c:formatCode>
                <c:ptCount val="3"/>
                <c:pt idx="0">
                  <c:v>#N/A</c:v>
                </c:pt>
                <c:pt idx="1">
                  <c:v>#N/A</c:v>
                </c:pt>
                <c:pt idx="2">
                  <c:v>#N/A</c:v>
                </c:pt>
              </c:numCache>
            </c:numRef>
          </c:val>
          <c:smooth val="0"/>
          <c:extLst>
            <c:ext xmlns:c16="http://schemas.microsoft.com/office/drawing/2014/chart" uri="{C3380CC4-5D6E-409C-BE32-E72D297353CC}">
              <c16:uniqueId val="{00000005-4F24-4A81-93F7-ADAF29F06A96}"/>
            </c:ext>
          </c:extLst>
        </c:ser>
        <c:ser>
          <c:idx val="1"/>
          <c:order val="2"/>
          <c:tx>
            <c:strRef>
              <c:f>PUNTO_DE_EQUILIBRIO!$N$24</c:f>
              <c:strCache>
                <c:ptCount val="1"/>
                <c:pt idx="0">
                  <c:v>Costos fijos totales</c:v>
                </c:pt>
              </c:strCache>
            </c:strRef>
          </c:tx>
          <c:spPr>
            <a:ln w="28575" cap="rnd">
              <a:solidFill>
                <a:schemeClr val="accent2"/>
              </a:solidFill>
              <a:round/>
            </a:ln>
            <a:effectLst/>
          </c:spPr>
          <c:marker>
            <c:symbol val="none"/>
          </c:marker>
          <c:cat>
            <c:numRef>
              <c:f>PUNTO_DE_EQUILIBRIO!$O$22:$Q$22</c:f>
              <c:numCache>
                <c:formatCode>#,##0</c:formatCode>
                <c:ptCount val="3"/>
                <c:pt idx="0">
                  <c:v>0</c:v>
                </c:pt>
                <c:pt idx="1">
                  <c:v>#N/A</c:v>
                </c:pt>
                <c:pt idx="2">
                  <c:v>#N/A</c:v>
                </c:pt>
              </c:numCache>
            </c:numRef>
          </c:cat>
          <c:val>
            <c:numRef>
              <c:f>PUNTO_DE_EQUILIBRIO!$O$24:$Q$24</c:f>
              <c:numCache>
                <c:formatCode>"$"#,##0_);[Red]\("$"#,##0\)</c:formatCode>
                <c:ptCount val="3"/>
                <c:pt idx="0">
                  <c:v>#N/A</c:v>
                </c:pt>
                <c:pt idx="1">
                  <c:v>#N/A</c:v>
                </c:pt>
                <c:pt idx="2">
                  <c:v>#N/A</c:v>
                </c:pt>
              </c:numCache>
            </c:numRef>
          </c:val>
          <c:smooth val="0"/>
          <c:extLst>
            <c:ext xmlns:c16="http://schemas.microsoft.com/office/drawing/2014/chart" uri="{C3380CC4-5D6E-409C-BE32-E72D297353CC}">
              <c16:uniqueId val="{00000007-4F24-4A81-93F7-ADAF29F06A9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2083254544"/>
        <c:axId val="2083274512"/>
      </c:lineChart>
      <c:catAx>
        <c:axId val="2083254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83274512"/>
        <c:crosses val="autoZero"/>
        <c:auto val="1"/>
        <c:lblAlgn val="ctr"/>
        <c:lblOffset val="100"/>
        <c:noMultiLvlLbl val="0"/>
      </c:catAx>
      <c:valAx>
        <c:axId val="208327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832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strRef>
              <c:f>ANALISIS_DE_VPN_Y_TIR!$C$32:$G$32</c:f>
              <c:strCache>
                <c:ptCount val="5"/>
                <c:pt idx="0">
                  <c:v>AÑO 1</c:v>
                </c:pt>
                <c:pt idx="1">
                  <c:v>AÑO 2</c:v>
                </c:pt>
                <c:pt idx="2">
                  <c:v>AÑO 3</c:v>
                </c:pt>
                <c:pt idx="3">
                  <c:v>AÑO 4</c:v>
                </c:pt>
                <c:pt idx="4">
                  <c:v>AÑO 5</c:v>
                </c:pt>
              </c:strCache>
            </c:strRef>
          </c:cat>
          <c:val>
            <c:numRef>
              <c:f>ANALISIS_DE_VPN_Y_TIR!$C$33:$G$33</c:f>
              <c:numCache>
                <c:formatCode>_-* #,##0.000_-;\-* #,##0.000_-;_-* "-"??_-;_-@_-</c:formatCode>
                <c:ptCount val="5"/>
                <c:pt idx="0">
                  <c:v>#N/A</c:v>
                </c:pt>
                <c:pt idx="1">
                  <c:v>#N/A</c:v>
                </c:pt>
                <c:pt idx="2">
                  <c:v>#N/A</c:v>
                </c:pt>
                <c:pt idx="3">
                  <c:v>#N/A</c:v>
                </c:pt>
                <c:pt idx="4">
                  <c:v>#N/A</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strRef>
              <c:f>ANALISIS_DE_VPN_Y_TIR!$C$32:$G$32</c:f>
              <c:strCache>
                <c:ptCount val="5"/>
                <c:pt idx="0">
                  <c:v>AÑO 1</c:v>
                </c:pt>
                <c:pt idx="1">
                  <c:v>AÑO 2</c:v>
                </c:pt>
                <c:pt idx="2">
                  <c:v>AÑO 3</c:v>
                </c:pt>
                <c:pt idx="3">
                  <c:v>AÑO 4</c:v>
                </c:pt>
                <c:pt idx="4">
                  <c:v>AÑO 5</c:v>
                </c:pt>
              </c:strCache>
            </c:strRef>
          </c:cat>
          <c:val>
            <c:numRef>
              <c:f>ANALISIS_DE_VPN_Y_TIR!$C$34:$G$34</c:f>
              <c:numCache>
                <c:formatCode>0.00%</c:formatCode>
                <c:ptCount val="5"/>
                <c:pt idx="0">
                  <c:v>#N/A</c:v>
                </c:pt>
                <c:pt idx="1">
                  <c:v>#N/A</c:v>
                </c:pt>
                <c:pt idx="2">
                  <c:v>#N/A</c:v>
                </c:pt>
                <c:pt idx="3">
                  <c:v>#N/A</c:v>
                </c:pt>
                <c:pt idx="4">
                  <c:v>#N/A</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strRef>
              <c:f>ANALISIS_DE_VPN_Y_TIR!$C$32:$G$32</c:f>
              <c:strCache>
                <c:ptCount val="5"/>
                <c:pt idx="0">
                  <c:v>AÑO 1</c:v>
                </c:pt>
                <c:pt idx="1">
                  <c:v>AÑO 2</c:v>
                </c:pt>
                <c:pt idx="2">
                  <c:v>AÑO 3</c:v>
                </c:pt>
                <c:pt idx="3">
                  <c:v>AÑO 4</c:v>
                </c:pt>
                <c:pt idx="4">
                  <c:v>AÑO 5</c:v>
                </c:pt>
              </c:strCache>
            </c:strRef>
          </c:cat>
          <c:val>
            <c:numRef>
              <c:f>ANALISIS_DE_VPN_Y_TIR!$C$35:$G$35</c:f>
              <c:numCache>
                <c:formatCode>0.00%</c:formatCode>
                <c:ptCount val="5"/>
                <c:pt idx="0">
                  <c:v>#N/A</c:v>
                </c:pt>
                <c:pt idx="1">
                  <c:v>#N/A</c:v>
                </c:pt>
                <c:pt idx="2">
                  <c:v>#N/A</c:v>
                </c:pt>
                <c:pt idx="3">
                  <c:v>#N/A</c:v>
                </c:pt>
                <c:pt idx="4">
                  <c:v>#N/A</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strRef>
              <c:f>ANALISIS_DE_VPN_Y_TIR!$C$32:$G$32</c:f>
              <c:strCache>
                <c:ptCount val="5"/>
                <c:pt idx="0">
                  <c:v>AÑO 1</c:v>
                </c:pt>
                <c:pt idx="1">
                  <c:v>AÑO 2</c:v>
                </c:pt>
                <c:pt idx="2">
                  <c:v>AÑO 3</c:v>
                </c:pt>
                <c:pt idx="3">
                  <c:v>AÑO 4</c:v>
                </c:pt>
                <c:pt idx="4">
                  <c:v>AÑO 5</c:v>
                </c:pt>
              </c:strCache>
            </c:strRef>
          </c:cat>
          <c:val>
            <c:numRef>
              <c:f>ANALISIS_DE_VPN_Y_TIR!$C$36:$G$36</c:f>
              <c:numCache>
                <c:formatCode>0.00%</c:formatCode>
                <c:ptCount val="5"/>
                <c:pt idx="0">
                  <c:v>#N/A</c:v>
                </c:pt>
                <c:pt idx="1">
                  <c:v>#N/A</c:v>
                </c:pt>
                <c:pt idx="2">
                  <c:v>#N/A</c:v>
                </c:pt>
                <c:pt idx="3">
                  <c:v>#N/A</c:v>
                </c:pt>
                <c:pt idx="4">
                  <c:v>#N/A</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strRef>
              <c:f>ANALISIS_DE_VPN_Y_TIR!$C$32:$G$32</c:f>
              <c:strCache>
                <c:ptCount val="5"/>
                <c:pt idx="0">
                  <c:v>AÑO 1</c:v>
                </c:pt>
                <c:pt idx="1">
                  <c:v>AÑO 2</c:v>
                </c:pt>
                <c:pt idx="2">
                  <c:v>AÑO 3</c:v>
                </c:pt>
                <c:pt idx="3">
                  <c:v>AÑO 4</c:v>
                </c:pt>
                <c:pt idx="4">
                  <c:v>AÑO 5</c:v>
                </c:pt>
              </c:strCache>
            </c:strRef>
          </c:cat>
          <c:val>
            <c:numRef>
              <c:f>ANALISIS_DE_VPN_Y_TIR!$C$37:$G$37</c:f>
              <c:numCache>
                <c:formatCode>0.00%</c:formatCode>
                <c:ptCount val="5"/>
                <c:pt idx="0">
                  <c:v>0</c:v>
                </c:pt>
                <c:pt idx="1">
                  <c:v>#N/A</c:v>
                </c:pt>
                <c:pt idx="2">
                  <c:v>#N/A</c:v>
                </c:pt>
                <c:pt idx="3">
                  <c:v>#N/A</c:v>
                </c:pt>
                <c:pt idx="4">
                  <c:v>#N/A</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strRef>
              <c:f>ANALISIS_DE_VPN_Y_TIR!$C$32:$G$32</c:f>
              <c:strCache>
                <c:ptCount val="5"/>
                <c:pt idx="0">
                  <c:v>AÑO 1</c:v>
                </c:pt>
                <c:pt idx="1">
                  <c:v>AÑO 2</c:v>
                </c:pt>
                <c:pt idx="2">
                  <c:v>AÑO 3</c:v>
                </c:pt>
                <c:pt idx="3">
                  <c:v>AÑO 4</c:v>
                </c:pt>
                <c:pt idx="4">
                  <c:v>AÑO 5</c:v>
                </c:pt>
              </c:strCache>
            </c:strRef>
          </c:cat>
          <c:val>
            <c:numRef>
              <c:f>ANALISIS_DE_VPN_Y_TIR!$C$38:$G$38</c:f>
              <c:numCache>
                <c:formatCode>0.00%</c:formatCode>
                <c:ptCount val="5"/>
                <c:pt idx="0">
                  <c:v>#N/A</c:v>
                </c:pt>
                <c:pt idx="1">
                  <c:v>#N/A</c:v>
                </c:pt>
                <c:pt idx="2">
                  <c:v>#N/A</c:v>
                </c:pt>
                <c:pt idx="3">
                  <c:v>#N/A</c:v>
                </c:pt>
                <c:pt idx="4">
                  <c:v>#N/A</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INSTRUCCIONES '!A1"/><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NECESIDADES_DE_FINANCIACION!A1"/><Relationship Id="rId13" Type="http://schemas.openxmlformats.org/officeDocument/2006/relationships/hyperlink" Target="#FLUJO_DE_CAJA!A1"/><Relationship Id="rId3" Type="http://schemas.openxmlformats.org/officeDocument/2006/relationships/image" Target="../media/image1.png"/><Relationship Id="rId7" Type="http://schemas.openxmlformats.org/officeDocument/2006/relationships/hyperlink" Target="#'CTOS_VS_ING_OPER-INV_INFRAEST'!A1"/><Relationship Id="rId12" Type="http://schemas.openxmlformats.org/officeDocument/2006/relationships/hyperlink" Target="#ESTADO_DE_RESULTADOS!A1"/><Relationship Id="rId2" Type="http://schemas.openxmlformats.org/officeDocument/2006/relationships/image" Target="../media/image2.jpeg"/><Relationship Id="rId1" Type="http://schemas.openxmlformats.org/officeDocument/2006/relationships/hyperlink" Target="#PUNTO_DE_EQUILIBRIO!A1"/><Relationship Id="rId6" Type="http://schemas.openxmlformats.org/officeDocument/2006/relationships/hyperlink" Target="#COSTOS_DE_PRODUCCION!A1"/><Relationship Id="rId11" Type="http://schemas.openxmlformats.org/officeDocument/2006/relationships/hyperlink" Target="#BALANCE_GENERAL!A1"/><Relationship Id="rId5" Type="http://schemas.openxmlformats.org/officeDocument/2006/relationships/hyperlink" Target="#PRODUCTO_O_SERVICIO!A1"/><Relationship Id="rId15" Type="http://schemas.openxmlformats.org/officeDocument/2006/relationships/hyperlink" Target="#'GTOS_ADTIVO_Y_VTAS-CTOS_FIJOS'!A1"/><Relationship Id="rId10" Type="http://schemas.openxmlformats.org/officeDocument/2006/relationships/hyperlink" Target="#ANALISIS_DE_VPN_Y_TIR!A1"/><Relationship Id="rId4" Type="http://schemas.openxmlformats.org/officeDocument/2006/relationships/hyperlink" Target="#BASES!A1"/><Relationship Id="rId9" Type="http://schemas.openxmlformats.org/officeDocument/2006/relationships/hyperlink" Target="#CUADRO_DE_COSTOS_Y_GASTOS_FIJOS!A1"/><Relationship Id="rId14" Type="http://schemas.openxmlformats.org/officeDocument/2006/relationships/hyperlink" Target="#ANALISIS_DE_SENSIBILIDAD!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INICIO!A1"/><Relationship Id="rId1" Type="http://schemas.openxmlformats.org/officeDocument/2006/relationships/image" Target="../media/image1.png"/><Relationship Id="rId4" Type="http://schemas.openxmlformats.org/officeDocument/2006/relationships/hyperlink" Target="#'INSTRUCCIONES '!A1"/></Relationships>
</file>

<file path=xl/drawings/_rels/drawing5.xml.rels><?xml version="1.0" encoding="UTF-8" standalone="yes"?>
<Relationships xmlns="http://schemas.openxmlformats.org/package/2006/relationships"><Relationship Id="rId3" Type="http://schemas.openxmlformats.org/officeDocument/2006/relationships/hyperlink" Target="#'INSTRUCCIONES '!A1"/><Relationship Id="rId2" Type="http://schemas.openxmlformats.org/officeDocument/2006/relationships/hyperlink" Target="#INICIO!A1"/><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hyperlink" Target="#'INSTRUCCIONES '!A1"/><Relationship Id="rId1" Type="http://schemas.openxmlformats.org/officeDocument/2006/relationships/hyperlink" Target="#INICIO!A1"/></Relationships>
</file>

<file path=xl/drawings/_rels/drawing7.xml.rels><?xml version="1.0" encoding="UTF-8" standalone="yes"?>
<Relationships xmlns="http://schemas.openxmlformats.org/package/2006/relationships"><Relationship Id="rId3" Type="http://schemas.openxmlformats.org/officeDocument/2006/relationships/hyperlink" Target="#'INSTRUCCIONES '!A1"/><Relationship Id="rId2" Type="http://schemas.openxmlformats.org/officeDocument/2006/relationships/hyperlink" Target="#INICIO!A1"/><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hyperlink" Target="#'INSTRUCCIONES '!A1"/><Relationship Id="rId2" Type="http://schemas.openxmlformats.org/officeDocument/2006/relationships/hyperlink" Target="#INICIO!A1"/><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hyperlink" Target="#'INSTRUCCIONES '!A1"/><Relationship Id="rId2" Type="http://schemas.openxmlformats.org/officeDocument/2006/relationships/image" Target="../media/image4.png"/><Relationship Id="rId1" Type="http://schemas.openxmlformats.org/officeDocument/2006/relationships/hyperlink" Target="#INICIO!A1"/></Relationships>
</file>

<file path=xl/drawings/_rels/drawing10.xml.rels><?xml version="1.0" encoding="UTF-8" standalone="yes"?>
<Relationships xmlns="http://schemas.openxmlformats.org/package/2006/relationships"><Relationship Id="rId3" Type="http://schemas.openxmlformats.org/officeDocument/2006/relationships/hyperlink" Target="#INICIO!A1"/><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hyperlink" Target="#'INSTRUCCIONES '!A1"/></Relationships>
</file>

<file path=xl/drawings/_rels/drawing11.xml.rels><?xml version="1.0" encoding="UTF-8" standalone="yes"?>
<Relationships xmlns="http://schemas.openxmlformats.org/package/2006/relationships"><Relationship Id="rId3" Type="http://schemas.openxmlformats.org/officeDocument/2006/relationships/hyperlink" Target="#INICIO!A1"/><Relationship Id="rId2" Type="http://schemas.openxmlformats.org/officeDocument/2006/relationships/image" Target="../media/image1.png"/><Relationship Id="rId1" Type="http://schemas.openxmlformats.org/officeDocument/2006/relationships/chart" Target="../charts/chart2.xml"/><Relationship Id="rId5" Type="http://schemas.openxmlformats.org/officeDocument/2006/relationships/hyperlink" Target="#'INSTRUCCIONES '!A1"/><Relationship Id="rId4"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openxmlformats.org/officeDocument/2006/relationships/hyperlink" Target="#'INSTRUCCIONES '!A1"/><Relationship Id="rId2" Type="http://schemas.openxmlformats.org/officeDocument/2006/relationships/hyperlink" Target="#INICIO!A1"/><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hyperlink" Target="#INICIO!A1"/><Relationship Id="rId2" Type="http://schemas.openxmlformats.org/officeDocument/2006/relationships/image" Target="../media/image1.png"/><Relationship Id="rId1" Type="http://schemas.openxmlformats.org/officeDocument/2006/relationships/image" Target="../media/image5.jpeg"/><Relationship Id="rId4" Type="http://schemas.openxmlformats.org/officeDocument/2006/relationships/hyperlink" Target="#'INSTRUCCIONES '!A1"/></Relationships>
</file>

<file path=xl/drawings/_rels/drawing14.xml.rels><?xml version="1.0" encoding="UTF-8" standalone="yes"?>
<Relationships xmlns="http://schemas.openxmlformats.org/package/2006/relationships"><Relationship Id="rId3" Type="http://schemas.openxmlformats.org/officeDocument/2006/relationships/hyperlink" Target="#INICIO!A1"/><Relationship Id="rId2" Type="http://schemas.openxmlformats.org/officeDocument/2006/relationships/image" Target="../media/image1.png"/><Relationship Id="rId1" Type="http://schemas.openxmlformats.org/officeDocument/2006/relationships/image" Target="../media/image6.jpeg"/><Relationship Id="rId4" Type="http://schemas.openxmlformats.org/officeDocument/2006/relationships/hyperlink" Target="#'INSTRUCCIONES '!A1"/></Relationships>
</file>

<file path=xl/drawings/_rels/drawing15.xml.rels><?xml version="1.0" encoding="UTF-8" standalone="yes"?>
<Relationships xmlns="http://schemas.openxmlformats.org/package/2006/relationships"><Relationship Id="rId8" Type="http://schemas.openxmlformats.org/officeDocument/2006/relationships/hyperlink" Target="#INICIO!A1"/><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hyperlink" Target="#'INSTRUCCIONES '!A1"/></Relationships>
</file>

<file path=xl/drawings/_rels/drawing16.xml.rels><?xml version="1.0" encoding="UTF-8" standalone="yes"?>
<Relationships xmlns="http://schemas.openxmlformats.org/package/2006/relationships"><Relationship Id="rId2" Type="http://schemas.openxmlformats.org/officeDocument/2006/relationships/hyperlink" Target="#'INSTRUCCIONES '!A1"/><Relationship Id="rId1" Type="http://schemas.openxmlformats.org/officeDocument/2006/relationships/hyperlink" Target="#INICIO!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745913</xdr:colOff>
      <xdr:row>12</xdr:row>
      <xdr:rowOff>120228</xdr:rowOff>
    </xdr:from>
    <xdr:to>
      <xdr:col>11</xdr:col>
      <xdr:colOff>730250</xdr:colOff>
      <xdr:row>19</xdr:row>
      <xdr:rowOff>77894</xdr:rowOff>
    </xdr:to>
    <xdr:sp macro="" textlink="">
      <xdr:nvSpPr>
        <xdr:cNvPr id="5" name="Pergamino horizontal 4">
          <a:extLst>
            <a:ext uri="{FF2B5EF4-FFF2-40B4-BE49-F238E27FC236}">
              <a16:creationId xmlns:a16="http://schemas.microsoft.com/office/drawing/2014/main" id="{00000000-0008-0000-0000-000005000000}"/>
            </a:ext>
          </a:extLst>
        </xdr:cNvPr>
        <xdr:cNvSpPr/>
      </xdr:nvSpPr>
      <xdr:spPr>
        <a:xfrm>
          <a:off x="989330" y="2406228"/>
          <a:ext cx="7604337" cy="1291166"/>
        </a:xfrm>
        <a:prstGeom prst="horizont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800" b="1">
              <a:latin typeface="+mn-lt"/>
            </a:rPr>
            <a:t>SIMULADOR</a:t>
          </a:r>
          <a:r>
            <a:rPr lang="en-US" sz="4800" b="1" baseline="0">
              <a:latin typeface="+mn-lt"/>
            </a:rPr>
            <a:t> FINANCIERO</a:t>
          </a:r>
          <a:endParaRPr lang="en-US" sz="4800" b="1">
            <a:latin typeface="+mn-lt"/>
          </a:endParaRPr>
        </a:p>
      </xdr:txBody>
    </xdr:sp>
    <xdr:clientData/>
  </xdr:twoCellAnchor>
  <xdr:twoCellAnchor editAs="oneCell">
    <xdr:from>
      <xdr:col>1</xdr:col>
      <xdr:colOff>157479</xdr:colOff>
      <xdr:row>1</xdr:row>
      <xdr:rowOff>5083</xdr:rowOff>
    </xdr:from>
    <xdr:to>
      <xdr:col>6</xdr:col>
      <xdr:colOff>193674</xdr:colOff>
      <xdr:row>11</xdr:row>
      <xdr:rowOff>111763</xdr:rowOff>
    </xdr:to>
    <xdr:pic>
      <xdr:nvPicPr>
        <xdr:cNvPr id="2" name="Picture 8" descr="La Salle New">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rcRect/>
        <a:stretch>
          <a:fillRect/>
        </a:stretch>
      </xdr:blipFill>
      <xdr:spPr>
        <a:xfrm>
          <a:off x="400896" y="195583"/>
          <a:ext cx="3846195" cy="201168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7</xdr:col>
      <xdr:colOff>716616</xdr:colOff>
      <xdr:row>1</xdr:row>
      <xdr:rowOff>5083</xdr:rowOff>
    </xdr:from>
    <xdr:to>
      <xdr:col>12</xdr:col>
      <xdr:colOff>751416</xdr:colOff>
      <xdr:row>12</xdr:row>
      <xdr:rowOff>33583</xdr:rowOff>
    </xdr:to>
    <xdr:pic>
      <xdr:nvPicPr>
        <xdr:cNvPr id="3" name="Imagen 2" descr="Fintrade2020 (Laboratorio Fintrade) · GitHub">
          <a:extLst>
            <a:ext uri="{FF2B5EF4-FFF2-40B4-BE49-F238E27FC236}">
              <a16:creationId xmlns:a16="http://schemas.microsoft.com/office/drawing/2014/main" id="{00000000-0008-0000-0000-0000030000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32033" y="195583"/>
          <a:ext cx="3844800" cy="21240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4</xdr:col>
      <xdr:colOff>351367</xdr:colOff>
      <xdr:row>23</xdr:row>
      <xdr:rowOff>63499</xdr:rowOff>
    </xdr:from>
    <xdr:to>
      <xdr:col>9</xdr:col>
      <xdr:colOff>512233</xdr:colOff>
      <xdr:row>28</xdr:row>
      <xdr:rowOff>129115</xdr:rowOff>
    </xdr:to>
    <xdr:sp macro="" textlink="">
      <xdr:nvSpPr>
        <xdr:cNvPr id="12" name="Flecha derecha 11">
          <a:hlinkClick xmlns:r="http://schemas.openxmlformats.org/officeDocument/2006/relationships" r:id="rId3"/>
          <a:extLst>
            <a:ext uri="{FF2B5EF4-FFF2-40B4-BE49-F238E27FC236}">
              <a16:creationId xmlns:a16="http://schemas.microsoft.com/office/drawing/2014/main" id="{00000000-0008-0000-0000-00000C000000}"/>
            </a:ext>
          </a:extLst>
        </xdr:cNvPr>
        <xdr:cNvSpPr/>
      </xdr:nvSpPr>
      <xdr:spPr>
        <a:xfrm>
          <a:off x="2880784" y="4466166"/>
          <a:ext cx="3970866" cy="1018116"/>
        </a:xfrm>
        <a:prstGeom prst="rightArrow">
          <a:avLst/>
        </a:prstGeom>
        <a:solidFill>
          <a:srgbClr val="2B4995"/>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800" b="1">
            <a:latin typeface="+mn-lt"/>
          </a:endParaRPr>
        </a:p>
        <a:p>
          <a:pPr algn="ctr"/>
          <a:r>
            <a:rPr lang="en-US" sz="2400" b="1">
              <a:latin typeface="+mn-lt"/>
            </a:rPr>
            <a:t>INSTRUCCIONES</a:t>
          </a:r>
        </a:p>
        <a:p>
          <a:pPr algn="ctr"/>
          <a:endParaRPr lang="en-US" sz="1800" b="1">
            <a:latin typeface="+mn-lt"/>
          </a:endParaRPr>
        </a:p>
      </xdr:txBody>
    </xdr:sp>
    <xdr:clientData/>
  </xdr:twoCellAnchor>
  <xdr:oneCellAnchor>
    <xdr:from>
      <xdr:col>5</xdr:col>
      <xdr:colOff>475573</xdr:colOff>
      <xdr:row>20</xdr:row>
      <xdr:rowOff>99139</xdr:rowOff>
    </xdr:from>
    <xdr:ext cx="1910587" cy="1250727"/>
    <xdr:sp macro="" textlink="">
      <xdr:nvSpPr>
        <xdr:cNvPr id="4" name="Rectángulo 3">
          <a:extLst>
            <a:ext uri="{FF2B5EF4-FFF2-40B4-BE49-F238E27FC236}">
              <a16:creationId xmlns:a16="http://schemas.microsoft.com/office/drawing/2014/main" id="{00000000-0008-0000-0000-000004000000}"/>
            </a:ext>
          </a:extLst>
        </xdr:cNvPr>
        <xdr:cNvSpPr/>
      </xdr:nvSpPr>
      <xdr:spPr>
        <a:xfrm>
          <a:off x="3879173" y="3824472"/>
          <a:ext cx="1910587" cy="1250727"/>
        </a:xfrm>
        <a:prstGeom prst="rect">
          <a:avLst/>
        </a:prstGeom>
        <a:noFill/>
      </xdr:spPr>
      <xdr:txBody>
        <a:bodyPr wrap="none" lIns="91440" tIns="45720" rIns="91440" bIns="45720">
          <a:spAutoFit/>
        </a:bodyPr>
        <a:lstStyle/>
        <a:p>
          <a:pPr algn="ctr"/>
          <a:endParaRPr lang="en-US" sz="5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endParaRPr>
        </a:p>
        <a:p>
          <a:pPr algn="ctr"/>
          <a:r>
            <a:rPr 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rPr>
            <a:t>INSTRUCCIONES</a:t>
          </a:r>
          <a:endParaRPr 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xdr:col>
      <xdr:colOff>560613</xdr:colOff>
      <xdr:row>47</xdr:row>
      <xdr:rowOff>183393</xdr:rowOff>
    </xdr:from>
    <xdr:to>
      <xdr:col>7</xdr:col>
      <xdr:colOff>62613</xdr:colOff>
      <xdr:row>50</xdr:row>
      <xdr:rowOff>174393</xdr:rowOff>
    </xdr:to>
    <xdr:sp macro="" textlink="">
      <xdr:nvSpPr>
        <xdr:cNvPr id="30" name="Rectángulo 29">
          <a:hlinkClick xmlns:r="http://schemas.openxmlformats.org/officeDocument/2006/relationships" r:id="rId1"/>
          <a:extLst>
            <a:ext uri="{FF2B5EF4-FFF2-40B4-BE49-F238E27FC236}">
              <a16:creationId xmlns:a16="http://schemas.microsoft.com/office/drawing/2014/main" id="{00000000-0008-0000-0100-00001E000000}"/>
            </a:ext>
          </a:extLst>
        </xdr:cNvPr>
        <xdr:cNvSpPr/>
      </xdr:nvSpPr>
      <xdr:spPr>
        <a:xfrm>
          <a:off x="17074242" y="15815279"/>
          <a:ext cx="3420857" cy="676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PUNTO</a:t>
          </a:r>
          <a:r>
            <a:rPr lang="en-US" sz="2000" b="1" baseline="0">
              <a:solidFill>
                <a:sysClr val="windowText" lastClr="000000"/>
              </a:solidFill>
            </a:rPr>
            <a:t> DE EQUILIBRIO</a:t>
          </a:r>
          <a:endParaRPr lang="en-US" sz="2000" b="1">
            <a:solidFill>
              <a:sysClr val="windowText" lastClr="000000"/>
            </a:solidFill>
          </a:endParaRPr>
        </a:p>
      </xdr:txBody>
    </xdr:sp>
    <xdr:clientData/>
  </xdr:twoCellAnchor>
  <xdr:twoCellAnchor editAs="oneCell">
    <xdr:from>
      <xdr:col>1</xdr:col>
      <xdr:colOff>13030200</xdr:colOff>
      <xdr:row>0</xdr:row>
      <xdr:rowOff>0</xdr:rowOff>
    </xdr:from>
    <xdr:to>
      <xdr:col>2</xdr:col>
      <xdr:colOff>267335</xdr:colOff>
      <xdr:row>12</xdr:row>
      <xdr:rowOff>0</xdr:rowOff>
    </xdr:to>
    <xdr:pic>
      <xdr:nvPicPr>
        <xdr:cNvPr id="3" name="Imagen 2" descr="Fintrade2020 (Laboratorio Fintrade) · GitHub">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30200" y="0"/>
          <a:ext cx="3496310" cy="2171700"/>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xdr:row>
      <xdr:rowOff>9314</xdr:rowOff>
    </xdr:from>
    <xdr:to>
      <xdr:col>1</xdr:col>
      <xdr:colOff>3255260</xdr:colOff>
      <xdr:row>9</xdr:row>
      <xdr:rowOff>16007</xdr:rowOff>
    </xdr:to>
    <xdr:pic>
      <xdr:nvPicPr>
        <xdr:cNvPr id="4" name="Picture 8" descr="La Salle New">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rcRect/>
        <a:stretch>
          <a:fillRect/>
        </a:stretch>
      </xdr:blipFill>
      <xdr:spPr>
        <a:xfrm>
          <a:off x="0" y="381847"/>
          <a:ext cx="3255260" cy="1310560"/>
        </a:xfrm>
        <a:prstGeom prst="rect">
          <a:avLst/>
        </a:prstGeom>
        <a:noFill/>
        <a:ln cap="flat">
          <a:noFill/>
        </a:ln>
      </xdr:spPr>
    </xdr:pic>
    <xdr:clientData/>
  </xdr:twoCellAnchor>
  <xdr:twoCellAnchor>
    <xdr:from>
      <xdr:col>2</xdr:col>
      <xdr:colOff>609599</xdr:colOff>
      <xdr:row>17</xdr:row>
      <xdr:rowOff>211666</xdr:rowOff>
    </xdr:from>
    <xdr:to>
      <xdr:col>7</xdr:col>
      <xdr:colOff>110742</xdr:colOff>
      <xdr:row>18</xdr:row>
      <xdr:rowOff>659866</xdr:rowOff>
    </xdr:to>
    <xdr:sp macro="" textlink="">
      <xdr:nvSpPr>
        <xdr:cNvPr id="5" name="Rectángulo 4">
          <a:hlinkClick xmlns:r="http://schemas.openxmlformats.org/officeDocument/2006/relationships" r:id="rId4"/>
          <a:extLst>
            <a:ext uri="{FF2B5EF4-FFF2-40B4-BE49-F238E27FC236}">
              <a16:creationId xmlns:a16="http://schemas.microsoft.com/office/drawing/2014/main" id="{00000000-0008-0000-0100-000005000000}"/>
            </a:ext>
          </a:extLst>
        </xdr:cNvPr>
        <xdr:cNvSpPr/>
      </xdr:nvSpPr>
      <xdr:spPr>
        <a:xfrm>
          <a:off x="17123228" y="3891037"/>
          <a:ext cx="3420000" cy="676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latin typeface="+mn-lt"/>
            </a:rPr>
            <a:t>BASES</a:t>
          </a:r>
        </a:p>
      </xdr:txBody>
    </xdr:sp>
    <xdr:clientData/>
  </xdr:twoCellAnchor>
  <xdr:twoCellAnchor>
    <xdr:from>
      <xdr:col>2</xdr:col>
      <xdr:colOff>609598</xdr:colOff>
      <xdr:row>20</xdr:row>
      <xdr:rowOff>143932</xdr:rowOff>
    </xdr:from>
    <xdr:to>
      <xdr:col>7</xdr:col>
      <xdr:colOff>110741</xdr:colOff>
      <xdr:row>21</xdr:row>
      <xdr:rowOff>135553</xdr:rowOff>
    </xdr:to>
    <xdr:sp macro="" textlink="">
      <xdr:nvSpPr>
        <xdr:cNvPr id="6" name="Rectángulo 5">
          <a:hlinkClick xmlns:r="http://schemas.openxmlformats.org/officeDocument/2006/relationships" r:id="rId5"/>
          <a:extLst>
            <a:ext uri="{FF2B5EF4-FFF2-40B4-BE49-F238E27FC236}">
              <a16:creationId xmlns:a16="http://schemas.microsoft.com/office/drawing/2014/main" id="{00000000-0008-0000-0100-000006000000}"/>
            </a:ext>
          </a:extLst>
        </xdr:cNvPr>
        <xdr:cNvSpPr/>
      </xdr:nvSpPr>
      <xdr:spPr>
        <a:xfrm>
          <a:off x="16666027" y="5124146"/>
          <a:ext cx="3311143" cy="712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latin typeface="+mn-lt"/>
            </a:rPr>
            <a:t>PRODUCTO</a:t>
          </a:r>
          <a:r>
            <a:rPr lang="en-US" sz="2000" b="1" baseline="0">
              <a:solidFill>
                <a:sysClr val="windowText" lastClr="000000"/>
              </a:solidFill>
              <a:latin typeface="+mn-lt"/>
            </a:rPr>
            <a:t> Y SERVICIO </a:t>
          </a:r>
          <a:endParaRPr lang="en-US" sz="2000" b="1">
            <a:solidFill>
              <a:sysClr val="windowText" lastClr="000000"/>
            </a:solidFill>
            <a:latin typeface="+mn-lt"/>
          </a:endParaRPr>
        </a:p>
      </xdr:txBody>
    </xdr:sp>
    <xdr:clientData/>
  </xdr:twoCellAnchor>
  <xdr:twoCellAnchor>
    <xdr:from>
      <xdr:col>2</xdr:col>
      <xdr:colOff>609598</xdr:colOff>
      <xdr:row>24</xdr:row>
      <xdr:rowOff>67732</xdr:rowOff>
    </xdr:from>
    <xdr:to>
      <xdr:col>7</xdr:col>
      <xdr:colOff>110741</xdr:colOff>
      <xdr:row>25</xdr:row>
      <xdr:rowOff>287332</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100-000007000000}"/>
            </a:ext>
          </a:extLst>
        </xdr:cNvPr>
        <xdr:cNvSpPr/>
      </xdr:nvSpPr>
      <xdr:spPr>
        <a:xfrm>
          <a:off x="17123227" y="6490303"/>
          <a:ext cx="3420000" cy="676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COSTOS</a:t>
          </a:r>
          <a:r>
            <a:rPr lang="en-US" sz="2000" b="1" baseline="0">
              <a:solidFill>
                <a:sysClr val="windowText" lastClr="000000"/>
              </a:solidFill>
            </a:rPr>
            <a:t> DE PRODUCCION</a:t>
          </a:r>
          <a:endParaRPr lang="en-US" sz="2000" b="1">
            <a:solidFill>
              <a:sysClr val="windowText" lastClr="000000"/>
            </a:solidFill>
          </a:endParaRPr>
        </a:p>
      </xdr:txBody>
    </xdr:sp>
    <xdr:clientData/>
  </xdr:twoCellAnchor>
  <xdr:twoCellAnchor>
    <xdr:from>
      <xdr:col>2</xdr:col>
      <xdr:colOff>569228</xdr:colOff>
      <xdr:row>30</xdr:row>
      <xdr:rowOff>8467</xdr:rowOff>
    </xdr:from>
    <xdr:to>
      <xdr:col>7</xdr:col>
      <xdr:colOff>70371</xdr:colOff>
      <xdr:row>31</xdr:row>
      <xdr:rowOff>228067</xdr:rowOff>
    </xdr:to>
    <xdr:sp macro="" textlink="">
      <xdr:nvSpPr>
        <xdr:cNvPr id="8" name="Rectángulo 7">
          <a:hlinkClick xmlns:r="http://schemas.openxmlformats.org/officeDocument/2006/relationships" r:id="rId7"/>
          <a:extLst>
            <a:ext uri="{FF2B5EF4-FFF2-40B4-BE49-F238E27FC236}">
              <a16:creationId xmlns:a16="http://schemas.microsoft.com/office/drawing/2014/main" id="{00000000-0008-0000-0100-000008000000}"/>
            </a:ext>
          </a:extLst>
        </xdr:cNvPr>
        <xdr:cNvSpPr/>
      </xdr:nvSpPr>
      <xdr:spPr>
        <a:xfrm>
          <a:off x="17082857" y="9174238"/>
          <a:ext cx="3420000" cy="676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CTOS VS ING OPER</a:t>
          </a:r>
          <a:r>
            <a:rPr lang="en-US" sz="2000" b="1" baseline="0">
              <a:solidFill>
                <a:sysClr val="windowText" lastClr="000000"/>
              </a:solidFill>
            </a:rPr>
            <a:t> - INV INFRAEST</a:t>
          </a:r>
          <a:endParaRPr lang="en-US" sz="2000" b="1">
            <a:solidFill>
              <a:sysClr val="windowText" lastClr="000000"/>
            </a:solidFill>
          </a:endParaRPr>
        </a:p>
      </xdr:txBody>
    </xdr:sp>
    <xdr:clientData/>
  </xdr:twoCellAnchor>
  <xdr:twoCellAnchor>
    <xdr:from>
      <xdr:col>2</xdr:col>
      <xdr:colOff>572558</xdr:colOff>
      <xdr:row>37</xdr:row>
      <xdr:rowOff>115357</xdr:rowOff>
    </xdr:from>
    <xdr:to>
      <xdr:col>7</xdr:col>
      <xdr:colOff>74558</xdr:colOff>
      <xdr:row>38</xdr:row>
      <xdr:rowOff>106979</xdr:rowOff>
    </xdr:to>
    <xdr:sp macro="" textlink="">
      <xdr:nvSpPr>
        <xdr:cNvPr id="10" name="Rectángulo 9">
          <a:hlinkClick xmlns:r="http://schemas.openxmlformats.org/officeDocument/2006/relationships" r:id="rId8"/>
          <a:extLst>
            <a:ext uri="{FF2B5EF4-FFF2-40B4-BE49-F238E27FC236}">
              <a16:creationId xmlns:a16="http://schemas.microsoft.com/office/drawing/2014/main" id="{00000000-0008-0000-0100-00000A000000}"/>
            </a:ext>
          </a:extLst>
        </xdr:cNvPr>
        <xdr:cNvSpPr/>
      </xdr:nvSpPr>
      <xdr:spPr>
        <a:xfrm>
          <a:off x="16628987" y="13804143"/>
          <a:ext cx="3312000" cy="712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ysClr val="windowText" lastClr="000000"/>
              </a:solidFill>
            </a:rPr>
            <a:t>NECESIDADES</a:t>
          </a:r>
          <a:r>
            <a:rPr lang="en-US" sz="1800" b="1" baseline="0">
              <a:solidFill>
                <a:sysClr val="windowText" lastClr="000000"/>
              </a:solidFill>
            </a:rPr>
            <a:t> DE FINANCIACIÓN</a:t>
          </a:r>
          <a:endParaRPr lang="en-US" sz="1800" b="1">
            <a:solidFill>
              <a:sysClr val="windowText" lastClr="000000"/>
            </a:solidFill>
          </a:endParaRPr>
        </a:p>
      </xdr:txBody>
    </xdr:sp>
    <xdr:clientData/>
  </xdr:twoCellAnchor>
  <xdr:twoCellAnchor>
    <xdr:from>
      <xdr:col>2</xdr:col>
      <xdr:colOff>532038</xdr:colOff>
      <xdr:row>44</xdr:row>
      <xdr:rowOff>66373</xdr:rowOff>
    </xdr:from>
    <xdr:to>
      <xdr:col>7</xdr:col>
      <xdr:colOff>34038</xdr:colOff>
      <xdr:row>46</xdr:row>
      <xdr:rowOff>57994</xdr:rowOff>
    </xdr:to>
    <xdr:sp macro="" textlink="">
      <xdr:nvSpPr>
        <xdr:cNvPr id="11" name="Rectángulo 10">
          <a:hlinkClick xmlns:r="http://schemas.openxmlformats.org/officeDocument/2006/relationships" r:id="rId9"/>
          <a:extLst>
            <a:ext uri="{FF2B5EF4-FFF2-40B4-BE49-F238E27FC236}">
              <a16:creationId xmlns:a16="http://schemas.microsoft.com/office/drawing/2014/main" id="{00000000-0008-0000-0100-00000B000000}"/>
            </a:ext>
          </a:extLst>
        </xdr:cNvPr>
        <xdr:cNvSpPr/>
      </xdr:nvSpPr>
      <xdr:spPr>
        <a:xfrm>
          <a:off x="16588467" y="16177230"/>
          <a:ext cx="3312000" cy="712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COSTOS</a:t>
          </a:r>
          <a:r>
            <a:rPr lang="en-US" sz="2000" b="1" baseline="0">
              <a:solidFill>
                <a:sysClr val="windowText" lastClr="000000"/>
              </a:solidFill>
            </a:rPr>
            <a:t> Y GASTOS</a:t>
          </a:r>
          <a:endParaRPr lang="en-US" sz="2000" b="1">
            <a:solidFill>
              <a:sysClr val="windowText" lastClr="000000"/>
            </a:solidFill>
          </a:endParaRPr>
        </a:p>
      </xdr:txBody>
    </xdr:sp>
    <xdr:clientData/>
  </xdr:twoCellAnchor>
  <xdr:twoCellAnchor>
    <xdr:from>
      <xdr:col>2</xdr:col>
      <xdr:colOff>572558</xdr:colOff>
      <xdr:row>64</xdr:row>
      <xdr:rowOff>171450</xdr:rowOff>
    </xdr:from>
    <xdr:to>
      <xdr:col>7</xdr:col>
      <xdr:colOff>74558</xdr:colOff>
      <xdr:row>66</xdr:row>
      <xdr:rowOff>163071</xdr:rowOff>
    </xdr:to>
    <xdr:sp macro="" textlink="">
      <xdr:nvSpPr>
        <xdr:cNvPr id="14" name="Rectángulo 13">
          <a:hlinkClick xmlns:r="http://schemas.openxmlformats.org/officeDocument/2006/relationships" r:id="rId10"/>
          <a:extLst>
            <a:ext uri="{FF2B5EF4-FFF2-40B4-BE49-F238E27FC236}">
              <a16:creationId xmlns:a16="http://schemas.microsoft.com/office/drawing/2014/main" id="{00000000-0008-0000-0100-00000E000000}"/>
            </a:ext>
          </a:extLst>
        </xdr:cNvPr>
        <xdr:cNvSpPr/>
      </xdr:nvSpPr>
      <xdr:spPr>
        <a:xfrm>
          <a:off x="16628987" y="21412200"/>
          <a:ext cx="3312000" cy="712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ANÁLISIS DE VPN Y TIR</a:t>
          </a:r>
        </a:p>
      </xdr:txBody>
    </xdr:sp>
    <xdr:clientData/>
  </xdr:twoCellAnchor>
  <xdr:twoCellAnchor>
    <xdr:from>
      <xdr:col>1</xdr:col>
      <xdr:colOff>67733</xdr:colOff>
      <xdr:row>19</xdr:row>
      <xdr:rowOff>101600</xdr:rowOff>
    </xdr:from>
    <xdr:to>
      <xdr:col>13</xdr:col>
      <xdr:colOff>550333</xdr:colOff>
      <xdr:row>19</xdr:row>
      <xdr:rowOff>110066</xdr:rowOff>
    </xdr:to>
    <xdr:cxnSp macro="">
      <xdr:nvCxnSpPr>
        <xdr:cNvPr id="19" name="Conector recto 18">
          <a:extLst>
            <a:ext uri="{FF2B5EF4-FFF2-40B4-BE49-F238E27FC236}">
              <a16:creationId xmlns:a16="http://schemas.microsoft.com/office/drawing/2014/main" id="{00000000-0008-0000-0100-000013000000}"/>
            </a:ext>
          </a:extLst>
        </xdr:cNvPr>
        <xdr:cNvCxnSpPr/>
      </xdr:nvCxnSpPr>
      <xdr:spPr>
        <a:xfrm>
          <a:off x="67733" y="5164667"/>
          <a:ext cx="19337867" cy="846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23</xdr:row>
      <xdr:rowOff>101600</xdr:rowOff>
    </xdr:from>
    <xdr:to>
      <xdr:col>13</xdr:col>
      <xdr:colOff>482600</xdr:colOff>
      <xdr:row>23</xdr:row>
      <xdr:rowOff>110066</xdr:rowOff>
    </xdr:to>
    <xdr:cxnSp macro="">
      <xdr:nvCxnSpPr>
        <xdr:cNvPr id="20" name="Conector recto 19">
          <a:extLst>
            <a:ext uri="{FF2B5EF4-FFF2-40B4-BE49-F238E27FC236}">
              <a16:creationId xmlns:a16="http://schemas.microsoft.com/office/drawing/2014/main" id="{00000000-0008-0000-0100-000014000000}"/>
            </a:ext>
          </a:extLst>
        </xdr:cNvPr>
        <xdr:cNvCxnSpPr/>
      </xdr:nvCxnSpPr>
      <xdr:spPr>
        <a:xfrm>
          <a:off x="0" y="7679267"/>
          <a:ext cx="19337867" cy="846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29</xdr:row>
      <xdr:rowOff>8467</xdr:rowOff>
    </xdr:from>
    <xdr:to>
      <xdr:col>13</xdr:col>
      <xdr:colOff>482600</xdr:colOff>
      <xdr:row>29</xdr:row>
      <xdr:rowOff>16933</xdr:rowOff>
    </xdr:to>
    <xdr:cxnSp macro="">
      <xdr:nvCxnSpPr>
        <xdr:cNvPr id="21" name="Conector recto 20">
          <a:extLst>
            <a:ext uri="{FF2B5EF4-FFF2-40B4-BE49-F238E27FC236}">
              <a16:creationId xmlns:a16="http://schemas.microsoft.com/office/drawing/2014/main" id="{00000000-0008-0000-0100-000015000000}"/>
            </a:ext>
          </a:extLst>
        </xdr:cNvPr>
        <xdr:cNvCxnSpPr/>
      </xdr:nvCxnSpPr>
      <xdr:spPr>
        <a:xfrm>
          <a:off x="0" y="11472334"/>
          <a:ext cx="19337867" cy="846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36</xdr:row>
      <xdr:rowOff>143934</xdr:rowOff>
    </xdr:from>
    <xdr:to>
      <xdr:col>13</xdr:col>
      <xdr:colOff>482600</xdr:colOff>
      <xdr:row>36</xdr:row>
      <xdr:rowOff>152400</xdr:rowOff>
    </xdr:to>
    <xdr:cxnSp macro="">
      <xdr:nvCxnSpPr>
        <xdr:cNvPr id="22" name="Conector recto 21">
          <a:extLst>
            <a:ext uri="{FF2B5EF4-FFF2-40B4-BE49-F238E27FC236}">
              <a16:creationId xmlns:a16="http://schemas.microsoft.com/office/drawing/2014/main" id="{00000000-0008-0000-0100-000016000000}"/>
            </a:ext>
          </a:extLst>
        </xdr:cNvPr>
        <xdr:cNvCxnSpPr/>
      </xdr:nvCxnSpPr>
      <xdr:spPr>
        <a:xfrm>
          <a:off x="0" y="15722601"/>
          <a:ext cx="19337867" cy="846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39</xdr:row>
      <xdr:rowOff>0</xdr:rowOff>
    </xdr:from>
    <xdr:to>
      <xdr:col>13</xdr:col>
      <xdr:colOff>482600</xdr:colOff>
      <xdr:row>39</xdr:row>
      <xdr:rowOff>8466</xdr:rowOff>
    </xdr:to>
    <xdr:cxnSp macro="">
      <xdr:nvCxnSpPr>
        <xdr:cNvPr id="23" name="Conector recto 22">
          <a:extLst>
            <a:ext uri="{FF2B5EF4-FFF2-40B4-BE49-F238E27FC236}">
              <a16:creationId xmlns:a16="http://schemas.microsoft.com/office/drawing/2014/main" id="{00000000-0008-0000-0100-000017000000}"/>
            </a:ext>
          </a:extLst>
        </xdr:cNvPr>
        <xdr:cNvCxnSpPr/>
      </xdr:nvCxnSpPr>
      <xdr:spPr>
        <a:xfrm>
          <a:off x="0" y="17178867"/>
          <a:ext cx="19337867" cy="846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63</xdr:row>
      <xdr:rowOff>219075</xdr:rowOff>
    </xdr:from>
    <xdr:to>
      <xdr:col>13</xdr:col>
      <xdr:colOff>482600</xdr:colOff>
      <xdr:row>63</xdr:row>
      <xdr:rowOff>227541</xdr:rowOff>
    </xdr:to>
    <xdr:cxnSp macro="">
      <xdr:nvCxnSpPr>
        <xdr:cNvPr id="25" name="Conector recto 24">
          <a:extLst>
            <a:ext uri="{FF2B5EF4-FFF2-40B4-BE49-F238E27FC236}">
              <a16:creationId xmlns:a16="http://schemas.microsoft.com/office/drawing/2014/main" id="{00000000-0008-0000-0100-000019000000}"/>
            </a:ext>
          </a:extLst>
        </xdr:cNvPr>
        <xdr:cNvCxnSpPr/>
      </xdr:nvCxnSpPr>
      <xdr:spPr>
        <a:xfrm>
          <a:off x="0" y="22802850"/>
          <a:ext cx="19265900" cy="846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0</xdr:colOff>
      <xdr:row>69</xdr:row>
      <xdr:rowOff>219075</xdr:rowOff>
    </xdr:from>
    <xdr:to>
      <xdr:col>13</xdr:col>
      <xdr:colOff>482600</xdr:colOff>
      <xdr:row>69</xdr:row>
      <xdr:rowOff>227541</xdr:rowOff>
    </xdr:to>
    <xdr:cxnSp macro="">
      <xdr:nvCxnSpPr>
        <xdr:cNvPr id="27" name="Conector recto 26">
          <a:extLst>
            <a:ext uri="{FF2B5EF4-FFF2-40B4-BE49-F238E27FC236}">
              <a16:creationId xmlns:a16="http://schemas.microsoft.com/office/drawing/2014/main" id="{00000000-0008-0000-0100-00001B000000}"/>
            </a:ext>
          </a:extLst>
        </xdr:cNvPr>
        <xdr:cNvCxnSpPr/>
      </xdr:nvCxnSpPr>
      <xdr:spPr>
        <a:xfrm>
          <a:off x="0" y="25546050"/>
          <a:ext cx="19265900" cy="846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71815</xdr:colOff>
      <xdr:row>4</xdr:row>
      <xdr:rowOff>7559</xdr:rowOff>
    </xdr:from>
    <xdr:to>
      <xdr:col>6</xdr:col>
      <xdr:colOff>131081</xdr:colOff>
      <xdr:row>13</xdr:row>
      <xdr:rowOff>134559</xdr:rowOff>
    </xdr:to>
    <xdr:sp macro="" textlink="">
      <xdr:nvSpPr>
        <xdr:cNvPr id="28" name="Flecha abajo 27">
          <a:extLst>
            <a:ext uri="{FF2B5EF4-FFF2-40B4-BE49-F238E27FC236}">
              <a16:creationId xmlns:a16="http://schemas.microsoft.com/office/drawing/2014/main" id="{00000000-0008-0000-0100-00001C000000}"/>
            </a:ext>
          </a:extLst>
        </xdr:cNvPr>
        <xdr:cNvSpPr/>
      </xdr:nvSpPr>
      <xdr:spPr>
        <a:xfrm>
          <a:off x="17902615" y="747788"/>
          <a:ext cx="1626809" cy="1792514"/>
        </a:xfrm>
        <a:prstGeom prst="down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xdr:col>
      <xdr:colOff>2738</xdr:colOff>
      <xdr:row>13</xdr:row>
      <xdr:rowOff>204409</xdr:rowOff>
    </xdr:from>
    <xdr:ext cx="3212176" cy="593239"/>
    <xdr:sp macro="" textlink="">
      <xdr:nvSpPr>
        <xdr:cNvPr id="29" name="Rectángulo 28">
          <a:extLst>
            <a:ext uri="{FF2B5EF4-FFF2-40B4-BE49-F238E27FC236}">
              <a16:creationId xmlns:a16="http://schemas.microsoft.com/office/drawing/2014/main" id="{00000000-0008-0000-0100-00001D000000}"/>
            </a:ext>
          </a:extLst>
        </xdr:cNvPr>
        <xdr:cNvSpPr/>
      </xdr:nvSpPr>
      <xdr:spPr>
        <a:xfrm flipH="1">
          <a:off x="17049767" y="2610152"/>
          <a:ext cx="3212176" cy="593239"/>
        </a:xfrm>
        <a:prstGeom prst="rect">
          <a:avLst/>
        </a:prstGeom>
        <a:noFill/>
      </xdr:spPr>
      <xdr:txBody>
        <a:bodyPr wrap="square" lIns="91440" tIns="45720" rIns="91440" bIns="45720">
          <a:spAutoFit/>
        </a:bodyPr>
        <a:lstStyle/>
        <a:p>
          <a:pPr algn="ctr"/>
          <a:r>
            <a:rPr lang="es-ES" sz="1600" b="1" cap="none" spc="0">
              <a:ln w="0"/>
              <a:solidFill>
                <a:schemeClr val="tx1"/>
              </a:solidFill>
              <a:effectLst>
                <a:outerShdw blurRad="38100" dist="19050" dir="2700000" algn="tl" rotWithShape="0">
                  <a:schemeClr val="dk1">
                    <a:alpha val="40000"/>
                  </a:schemeClr>
                </a:outerShdw>
              </a:effectLst>
            </a:rPr>
            <a:t>para</a:t>
          </a:r>
          <a:r>
            <a:rPr lang="es-ES" sz="1600" b="1" cap="none" spc="0" baseline="0">
              <a:ln w="0"/>
              <a:solidFill>
                <a:schemeClr val="tx1"/>
              </a:solidFill>
              <a:effectLst>
                <a:outerShdw blurRad="38100" dist="19050" dir="2700000" algn="tl" rotWithShape="0">
                  <a:schemeClr val="dk1">
                    <a:alpha val="40000"/>
                  </a:schemeClr>
                </a:outerShdw>
              </a:effectLst>
            </a:rPr>
            <a:t> ir a la hoja que desea, ingrese en el boton correspondiente</a:t>
          </a:r>
          <a:endParaRPr lang="es-ES" sz="1600" b="1"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xdr:col>
      <xdr:colOff>526593</xdr:colOff>
      <xdr:row>52</xdr:row>
      <xdr:rowOff>138490</xdr:rowOff>
    </xdr:from>
    <xdr:to>
      <xdr:col>7</xdr:col>
      <xdr:colOff>28593</xdr:colOff>
      <xdr:row>55</xdr:row>
      <xdr:rowOff>129490</xdr:rowOff>
    </xdr:to>
    <xdr:sp macro="" textlink="">
      <xdr:nvSpPr>
        <xdr:cNvPr id="31" name="Rectángulo 30">
          <a:hlinkClick xmlns:r="http://schemas.openxmlformats.org/officeDocument/2006/relationships" r:id="rId11"/>
          <a:extLst>
            <a:ext uri="{FF2B5EF4-FFF2-40B4-BE49-F238E27FC236}">
              <a16:creationId xmlns:a16="http://schemas.microsoft.com/office/drawing/2014/main" id="{00000000-0008-0000-0100-00001F000000}"/>
            </a:ext>
          </a:extLst>
        </xdr:cNvPr>
        <xdr:cNvSpPr/>
      </xdr:nvSpPr>
      <xdr:spPr>
        <a:xfrm>
          <a:off x="17040222" y="16913376"/>
          <a:ext cx="3420857" cy="676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BALANCE</a:t>
          </a:r>
          <a:r>
            <a:rPr lang="en-US" sz="2000" b="1" baseline="0">
              <a:solidFill>
                <a:sysClr val="windowText" lastClr="000000"/>
              </a:solidFill>
            </a:rPr>
            <a:t> GENERAL</a:t>
          </a:r>
          <a:endParaRPr lang="en-US" sz="2000" b="1">
            <a:solidFill>
              <a:sysClr val="windowText" lastClr="000000"/>
            </a:solidFill>
          </a:endParaRPr>
        </a:p>
      </xdr:txBody>
    </xdr:sp>
    <xdr:clientData/>
  </xdr:twoCellAnchor>
  <xdr:twoCellAnchor>
    <xdr:from>
      <xdr:col>2</xdr:col>
      <xdr:colOff>523872</xdr:colOff>
      <xdr:row>55</xdr:row>
      <xdr:rowOff>239183</xdr:rowOff>
    </xdr:from>
    <xdr:to>
      <xdr:col>7</xdr:col>
      <xdr:colOff>25872</xdr:colOff>
      <xdr:row>58</xdr:row>
      <xdr:rowOff>217197</xdr:rowOff>
    </xdr:to>
    <xdr:sp macro="" textlink="">
      <xdr:nvSpPr>
        <xdr:cNvPr id="32" name="Rectángulo 31">
          <a:hlinkClick xmlns:r="http://schemas.openxmlformats.org/officeDocument/2006/relationships" r:id="rId12"/>
          <a:extLst>
            <a:ext uri="{FF2B5EF4-FFF2-40B4-BE49-F238E27FC236}">
              <a16:creationId xmlns:a16="http://schemas.microsoft.com/office/drawing/2014/main" id="{00000000-0008-0000-0100-000020000000}"/>
            </a:ext>
          </a:extLst>
        </xdr:cNvPr>
        <xdr:cNvSpPr/>
      </xdr:nvSpPr>
      <xdr:spPr>
        <a:xfrm>
          <a:off x="16580301" y="19275576"/>
          <a:ext cx="3312000" cy="712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ESTADO</a:t>
          </a:r>
          <a:r>
            <a:rPr lang="en-US" sz="2000" b="1" baseline="0">
              <a:solidFill>
                <a:sysClr val="windowText" lastClr="000000"/>
              </a:solidFill>
            </a:rPr>
            <a:t> DE RESULTADOS</a:t>
          </a:r>
          <a:endParaRPr lang="en-US" sz="2000" b="1">
            <a:solidFill>
              <a:sysClr val="windowText" lastClr="000000"/>
            </a:solidFill>
          </a:endParaRPr>
        </a:p>
      </xdr:txBody>
    </xdr:sp>
    <xdr:clientData/>
  </xdr:twoCellAnchor>
  <xdr:twoCellAnchor>
    <xdr:from>
      <xdr:col>2</xdr:col>
      <xdr:colOff>532038</xdr:colOff>
      <xdr:row>59</xdr:row>
      <xdr:rowOff>226120</xdr:rowOff>
    </xdr:from>
    <xdr:to>
      <xdr:col>7</xdr:col>
      <xdr:colOff>34038</xdr:colOff>
      <xdr:row>62</xdr:row>
      <xdr:rowOff>217120</xdr:rowOff>
    </xdr:to>
    <xdr:sp macro="" textlink="">
      <xdr:nvSpPr>
        <xdr:cNvPr id="33" name="Rectángulo 32">
          <a:hlinkClick xmlns:r="http://schemas.openxmlformats.org/officeDocument/2006/relationships" r:id="rId13"/>
          <a:extLst>
            <a:ext uri="{FF2B5EF4-FFF2-40B4-BE49-F238E27FC236}">
              <a16:creationId xmlns:a16="http://schemas.microsoft.com/office/drawing/2014/main" id="{00000000-0008-0000-0100-000021000000}"/>
            </a:ext>
          </a:extLst>
        </xdr:cNvPr>
        <xdr:cNvSpPr/>
      </xdr:nvSpPr>
      <xdr:spPr>
        <a:xfrm>
          <a:off x="17045667" y="18601206"/>
          <a:ext cx="3420857" cy="676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FLUJO DE CAJA </a:t>
          </a:r>
        </a:p>
      </xdr:txBody>
    </xdr:sp>
    <xdr:clientData/>
  </xdr:twoCellAnchor>
  <xdr:twoCellAnchor>
    <xdr:from>
      <xdr:col>2</xdr:col>
      <xdr:colOff>519793</xdr:colOff>
      <xdr:row>71</xdr:row>
      <xdr:rowOff>164645</xdr:rowOff>
    </xdr:from>
    <xdr:to>
      <xdr:col>7</xdr:col>
      <xdr:colOff>21793</xdr:colOff>
      <xdr:row>74</xdr:row>
      <xdr:rowOff>155645</xdr:rowOff>
    </xdr:to>
    <xdr:sp macro="" textlink="">
      <xdr:nvSpPr>
        <xdr:cNvPr id="44" name="Rectángulo 43">
          <a:hlinkClick xmlns:r="http://schemas.openxmlformats.org/officeDocument/2006/relationships" r:id="rId14"/>
          <a:extLst>
            <a:ext uri="{FF2B5EF4-FFF2-40B4-BE49-F238E27FC236}">
              <a16:creationId xmlns:a16="http://schemas.microsoft.com/office/drawing/2014/main" id="{00000000-0008-0000-0100-00002C000000}"/>
            </a:ext>
          </a:extLst>
        </xdr:cNvPr>
        <xdr:cNvSpPr/>
      </xdr:nvSpPr>
      <xdr:spPr>
        <a:xfrm>
          <a:off x="17033422" y="21511531"/>
          <a:ext cx="3420857" cy="676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ANÁLISIS</a:t>
          </a:r>
          <a:r>
            <a:rPr lang="en-US" sz="2000" b="1" baseline="0">
              <a:solidFill>
                <a:sysClr val="windowText" lastClr="000000"/>
              </a:solidFill>
            </a:rPr>
            <a:t> DE SENSIBILIDAD</a:t>
          </a:r>
          <a:endParaRPr lang="en-US" sz="2000" b="1">
            <a:solidFill>
              <a:sysClr val="windowText" lastClr="000000"/>
            </a:solidFill>
          </a:endParaRPr>
        </a:p>
      </xdr:txBody>
    </xdr:sp>
    <xdr:clientData/>
  </xdr:twoCellAnchor>
  <xdr:twoCellAnchor>
    <xdr:from>
      <xdr:col>2</xdr:col>
      <xdr:colOff>615495</xdr:colOff>
      <xdr:row>34</xdr:row>
      <xdr:rowOff>88749</xdr:rowOff>
    </xdr:from>
    <xdr:to>
      <xdr:col>7</xdr:col>
      <xdr:colOff>117020</xdr:colOff>
      <xdr:row>34</xdr:row>
      <xdr:rowOff>765549</xdr:rowOff>
    </xdr:to>
    <xdr:sp macro="" textlink="">
      <xdr:nvSpPr>
        <xdr:cNvPr id="45" name="Rectángulo 44">
          <a:hlinkClick xmlns:r="http://schemas.openxmlformats.org/officeDocument/2006/relationships" r:id="rId15"/>
          <a:extLst>
            <a:ext uri="{FF2B5EF4-FFF2-40B4-BE49-F238E27FC236}">
              <a16:creationId xmlns:a16="http://schemas.microsoft.com/office/drawing/2014/main" id="{00000000-0008-0000-0100-00002D000000}"/>
            </a:ext>
          </a:extLst>
        </xdr:cNvPr>
        <xdr:cNvSpPr/>
      </xdr:nvSpPr>
      <xdr:spPr>
        <a:xfrm>
          <a:off x="17129124" y="10691435"/>
          <a:ext cx="3420382" cy="6768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rPr>
            <a:t>GTOS ADTIVO Y VTAS – CTOS FIJOS</a:t>
          </a:r>
        </a:p>
      </xdr:txBody>
    </xdr:sp>
    <xdr:clientData/>
  </xdr:twoCellAnchor>
  <xdr:twoCellAnchor>
    <xdr:from>
      <xdr:col>1</xdr:col>
      <xdr:colOff>11201399</xdr:colOff>
      <xdr:row>52</xdr:row>
      <xdr:rowOff>359227</xdr:rowOff>
    </xdr:from>
    <xdr:to>
      <xdr:col>1</xdr:col>
      <xdr:colOff>14739256</xdr:colOff>
      <xdr:row>52</xdr:row>
      <xdr:rowOff>370113</xdr:rowOff>
    </xdr:to>
    <xdr:cxnSp macro="">
      <xdr:nvCxnSpPr>
        <xdr:cNvPr id="47" name="Conector recto 46">
          <a:extLst>
            <a:ext uri="{FF2B5EF4-FFF2-40B4-BE49-F238E27FC236}">
              <a16:creationId xmlns:a16="http://schemas.microsoft.com/office/drawing/2014/main" id="{00000000-0008-0000-0100-00002F000000}"/>
            </a:ext>
          </a:extLst>
        </xdr:cNvPr>
        <xdr:cNvCxnSpPr/>
      </xdr:nvCxnSpPr>
      <xdr:spPr>
        <a:xfrm>
          <a:off x="11201399" y="21477513"/>
          <a:ext cx="3537857" cy="10886"/>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14761029</xdr:colOff>
      <xdr:row>52</xdr:row>
      <xdr:rowOff>337457</xdr:rowOff>
    </xdr:from>
    <xdr:to>
      <xdr:col>1</xdr:col>
      <xdr:colOff>14761029</xdr:colOff>
      <xdr:row>60</xdr:row>
      <xdr:rowOff>130628</xdr:rowOff>
    </xdr:to>
    <xdr:cxnSp macro="">
      <xdr:nvCxnSpPr>
        <xdr:cNvPr id="49" name="Conector recto 48">
          <a:extLst>
            <a:ext uri="{FF2B5EF4-FFF2-40B4-BE49-F238E27FC236}">
              <a16:creationId xmlns:a16="http://schemas.microsoft.com/office/drawing/2014/main" id="{00000000-0008-0000-0100-000031000000}"/>
            </a:ext>
          </a:extLst>
        </xdr:cNvPr>
        <xdr:cNvCxnSpPr/>
      </xdr:nvCxnSpPr>
      <xdr:spPr>
        <a:xfrm>
          <a:off x="14761029" y="21455743"/>
          <a:ext cx="0" cy="1850571"/>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xdr:col>
      <xdr:colOff>14771914</xdr:colOff>
      <xdr:row>56</xdr:row>
      <xdr:rowOff>97971</xdr:rowOff>
    </xdr:from>
    <xdr:to>
      <xdr:col>2</xdr:col>
      <xdr:colOff>337457</xdr:colOff>
      <xdr:row>56</xdr:row>
      <xdr:rowOff>97971</xdr:rowOff>
    </xdr:to>
    <xdr:cxnSp macro="">
      <xdr:nvCxnSpPr>
        <xdr:cNvPr id="53" name="Conector recto de flecha 52">
          <a:extLst>
            <a:ext uri="{FF2B5EF4-FFF2-40B4-BE49-F238E27FC236}">
              <a16:creationId xmlns:a16="http://schemas.microsoft.com/office/drawing/2014/main" id="{00000000-0008-0000-0100-000035000000}"/>
            </a:ext>
          </a:extLst>
        </xdr:cNvPr>
        <xdr:cNvCxnSpPr/>
      </xdr:nvCxnSpPr>
      <xdr:spPr>
        <a:xfrm>
          <a:off x="14771914" y="22359257"/>
          <a:ext cx="18288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14728371</xdr:colOff>
      <xdr:row>60</xdr:row>
      <xdr:rowOff>141514</xdr:rowOff>
    </xdr:from>
    <xdr:to>
      <xdr:col>2</xdr:col>
      <xdr:colOff>381000</xdr:colOff>
      <xdr:row>60</xdr:row>
      <xdr:rowOff>141514</xdr:rowOff>
    </xdr:to>
    <xdr:cxnSp macro="">
      <xdr:nvCxnSpPr>
        <xdr:cNvPr id="55" name="Conector recto de flecha 54">
          <a:extLst>
            <a:ext uri="{FF2B5EF4-FFF2-40B4-BE49-F238E27FC236}">
              <a16:creationId xmlns:a16="http://schemas.microsoft.com/office/drawing/2014/main" id="{00000000-0008-0000-0100-000037000000}"/>
            </a:ext>
          </a:extLst>
        </xdr:cNvPr>
        <xdr:cNvCxnSpPr/>
      </xdr:nvCxnSpPr>
      <xdr:spPr>
        <a:xfrm>
          <a:off x="14728371" y="23317200"/>
          <a:ext cx="1915886"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xdr:col>
      <xdr:colOff>14739257</xdr:colOff>
      <xdr:row>52</xdr:row>
      <xdr:rowOff>370114</xdr:rowOff>
    </xdr:from>
    <xdr:to>
      <xdr:col>2</xdr:col>
      <xdr:colOff>261257</xdr:colOff>
      <xdr:row>52</xdr:row>
      <xdr:rowOff>381000</xdr:rowOff>
    </xdr:to>
    <xdr:cxnSp macro="">
      <xdr:nvCxnSpPr>
        <xdr:cNvPr id="57" name="Conector recto de flecha 56">
          <a:extLst>
            <a:ext uri="{FF2B5EF4-FFF2-40B4-BE49-F238E27FC236}">
              <a16:creationId xmlns:a16="http://schemas.microsoft.com/office/drawing/2014/main" id="{00000000-0008-0000-0100-000039000000}"/>
            </a:ext>
          </a:extLst>
        </xdr:cNvPr>
        <xdr:cNvCxnSpPr/>
      </xdr:nvCxnSpPr>
      <xdr:spPr>
        <a:xfrm>
          <a:off x="14739257" y="21488400"/>
          <a:ext cx="1785257" cy="10886"/>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7</xdr:row>
          <xdr:rowOff>57150</xdr:rowOff>
        </xdr:from>
        <xdr:to>
          <xdr:col>17</xdr:col>
          <xdr:colOff>704850</xdr:colOff>
          <xdr:row>58</xdr:row>
          <xdr:rowOff>76200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681446</xdr:colOff>
      <xdr:row>1</xdr:row>
      <xdr:rowOff>2721</xdr:rowOff>
    </xdr:from>
    <xdr:to>
      <xdr:col>1</xdr:col>
      <xdr:colOff>3301071</xdr:colOff>
      <xdr:row>8</xdr:row>
      <xdr:rowOff>29280</xdr:rowOff>
    </xdr:to>
    <xdr:pic>
      <xdr:nvPicPr>
        <xdr:cNvPr id="3" name="Picture 8" descr="La Salle New">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rcRect/>
        <a:stretch>
          <a:fillRect/>
        </a:stretch>
      </xdr:blipFill>
      <xdr:spPr>
        <a:xfrm>
          <a:off x="681446" y="185601"/>
          <a:ext cx="3295265" cy="1306719"/>
        </a:xfrm>
        <a:prstGeom prst="rect">
          <a:avLst/>
        </a:prstGeom>
        <a:noFill/>
        <a:ln cap="flat">
          <a:noFill/>
        </a:ln>
      </xdr:spPr>
    </xdr:pic>
    <xdr:clientData/>
  </xdr:twoCellAnchor>
  <xdr:twoCellAnchor>
    <xdr:from>
      <xdr:col>1</xdr:col>
      <xdr:colOff>3467101</xdr:colOff>
      <xdr:row>2</xdr:row>
      <xdr:rowOff>99060</xdr:rowOff>
    </xdr:from>
    <xdr:to>
      <xdr:col>5</xdr:col>
      <xdr:colOff>124915</xdr:colOff>
      <xdr:row>6</xdr:row>
      <xdr:rowOff>106680</xdr:rowOff>
    </xdr:to>
    <xdr:sp macro="" textlink="">
      <xdr:nvSpPr>
        <xdr:cNvPr id="5" name="CuadroTexto 4">
          <a:extLst>
            <a:ext uri="{FF2B5EF4-FFF2-40B4-BE49-F238E27FC236}">
              <a16:creationId xmlns:a16="http://schemas.microsoft.com/office/drawing/2014/main" id="{00000000-0008-0000-0300-000005000000}"/>
            </a:ext>
          </a:extLst>
        </xdr:cNvPr>
        <xdr:cNvSpPr txBox="1"/>
      </xdr:nvSpPr>
      <xdr:spPr>
        <a:xfrm>
          <a:off x="4251961" y="464820"/>
          <a:ext cx="3561534" cy="739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de color gris son modificables en esta</a:t>
          </a:r>
          <a:r>
            <a:rPr lang="es-CO" sz="1800" b="1" baseline="0"/>
            <a:t> página.</a:t>
          </a:r>
          <a:endParaRPr lang="es-CO" sz="1800" b="1"/>
        </a:p>
      </xdr:txBody>
    </xdr:sp>
    <xdr:clientData/>
  </xdr:twoCellAnchor>
  <xdr:twoCellAnchor>
    <xdr:from>
      <xdr:col>5</xdr:col>
      <xdr:colOff>289560</xdr:colOff>
      <xdr:row>3</xdr:row>
      <xdr:rowOff>30480</xdr:rowOff>
    </xdr:from>
    <xdr:to>
      <xdr:col>6</xdr:col>
      <xdr:colOff>375285</xdr:colOff>
      <xdr:row>5</xdr:row>
      <xdr:rowOff>129540</xdr:rowOff>
    </xdr:to>
    <xdr:sp macro="" textlink="">
      <xdr:nvSpPr>
        <xdr:cNvPr id="4" name="Rectángulo redondeado 3">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a:xfrm>
          <a:off x="7978140" y="579120"/>
          <a:ext cx="1914525" cy="464820"/>
        </a:xfrm>
        <a:prstGeom prst="roundRect">
          <a:avLst/>
        </a:prstGeom>
        <a:solidFill>
          <a:srgbClr val="00B0F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419" sz="1800" b="1">
              <a:solidFill>
                <a:sysClr val="windowText" lastClr="000000"/>
              </a:solidFill>
            </a:rPr>
            <a:t>INICIO </a:t>
          </a:r>
        </a:p>
      </xdr:txBody>
    </xdr:sp>
    <xdr:clientData/>
  </xdr:twoCellAnchor>
  <xdr:twoCellAnchor editAs="oneCell">
    <xdr:from>
      <xdr:col>6</xdr:col>
      <xdr:colOff>716280</xdr:colOff>
      <xdr:row>0</xdr:row>
      <xdr:rowOff>0</xdr:rowOff>
    </xdr:from>
    <xdr:to>
      <xdr:col>7</xdr:col>
      <xdr:colOff>1733494</xdr:colOff>
      <xdr:row>8</xdr:row>
      <xdr:rowOff>120960</xdr:rowOff>
    </xdr:to>
    <xdr:pic>
      <xdr:nvPicPr>
        <xdr:cNvPr id="6" name="Imagen 5" descr="Fintrade2020 (Laboratorio Fintrade) · GitHub">
          <a:extLst>
            <a:ext uri="{FF2B5EF4-FFF2-40B4-BE49-F238E27FC236}">
              <a16:creationId xmlns:a16="http://schemas.microsoft.com/office/drawing/2014/main" id="{00000000-0008-0000-0300-000006000000}"/>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233660" y="0"/>
          <a:ext cx="2994060" cy="158400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5</xdr:col>
      <xdr:colOff>279400</xdr:colOff>
      <xdr:row>6</xdr:row>
      <xdr:rowOff>67733</xdr:rowOff>
    </xdr:from>
    <xdr:to>
      <xdr:col>6</xdr:col>
      <xdr:colOff>389467</xdr:colOff>
      <xdr:row>8</xdr:row>
      <xdr:rowOff>113490</xdr:rowOff>
    </xdr:to>
    <xdr:sp macro="" textlink="">
      <xdr:nvSpPr>
        <xdr:cNvPr id="7" name="Rectángulo redondeado 6">
          <a:hlinkClick xmlns:r="http://schemas.openxmlformats.org/officeDocument/2006/relationships" r:id="rId4"/>
          <a:extLst>
            <a:ext uri="{FF2B5EF4-FFF2-40B4-BE49-F238E27FC236}">
              <a16:creationId xmlns:a16="http://schemas.microsoft.com/office/drawing/2014/main" id="{00000000-0008-0000-0300-000007000000}"/>
            </a:ext>
          </a:extLst>
        </xdr:cNvPr>
        <xdr:cNvSpPr/>
      </xdr:nvSpPr>
      <xdr:spPr>
        <a:xfrm>
          <a:off x="9844932" y="1186414"/>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16</xdr:row>
          <xdr:rowOff>0</xdr:rowOff>
        </xdr:from>
        <xdr:to>
          <xdr:col>1</xdr:col>
          <xdr:colOff>3086100</xdr:colOff>
          <xdr:row>20</xdr:row>
          <xdr:rowOff>47625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4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000000"/>
                  </a:solidFill>
                  <a:latin typeface="Times New Roman"/>
                  <a:cs typeface="Times New Roman"/>
                </a:rPr>
                <a:t>CREACIÓN DE UN NUEVO PRODUCTO O SERVICIO </a:t>
              </a:r>
            </a:p>
          </xdr:txBody>
        </xdr:sp>
        <xdr:clientData fPrintsWithSheet="0"/>
      </xdr:twoCellAnchor>
    </mc:Choice>
    <mc:Fallback/>
  </mc:AlternateContent>
  <xdr:twoCellAnchor>
    <xdr:from>
      <xdr:col>5</xdr:col>
      <xdr:colOff>247650</xdr:colOff>
      <xdr:row>15</xdr:row>
      <xdr:rowOff>133351</xdr:rowOff>
    </xdr:from>
    <xdr:to>
      <xdr:col>6</xdr:col>
      <xdr:colOff>1657350</xdr:colOff>
      <xdr:row>19</xdr:row>
      <xdr:rowOff>76200</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468350" y="1733551"/>
          <a:ext cx="4133850" cy="704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editAs="oneCell">
    <xdr:from>
      <xdr:col>10</xdr:col>
      <xdr:colOff>2362200</xdr:colOff>
      <xdr:row>9</xdr:row>
      <xdr:rowOff>95250</xdr:rowOff>
    </xdr:from>
    <xdr:to>
      <xdr:col>12</xdr:col>
      <xdr:colOff>552065</xdr:colOff>
      <xdr:row>16</xdr:row>
      <xdr:rowOff>41799</xdr:rowOff>
    </xdr:to>
    <xdr:pic>
      <xdr:nvPicPr>
        <xdr:cNvPr id="5" name="Picture 8" descr="La Salle New">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rcRect/>
        <a:stretch>
          <a:fillRect/>
        </a:stretch>
      </xdr:blipFill>
      <xdr:spPr>
        <a:xfrm>
          <a:off x="29813250" y="1095375"/>
          <a:ext cx="3180965" cy="1346724"/>
        </a:xfrm>
        <a:prstGeom prst="rect">
          <a:avLst/>
        </a:prstGeom>
        <a:noFill/>
        <a:ln cap="flat">
          <a:noFill/>
        </a:ln>
      </xdr:spPr>
    </xdr:pic>
    <xdr:clientData/>
  </xdr:twoCellAnchor>
  <xdr:twoCellAnchor>
    <xdr:from>
      <xdr:col>4</xdr:col>
      <xdr:colOff>340995</xdr:colOff>
      <xdr:row>1</xdr:row>
      <xdr:rowOff>139065</xdr:rowOff>
    </xdr:from>
    <xdr:to>
      <xdr:col>4</xdr:col>
      <xdr:colOff>2350770</xdr:colOff>
      <xdr:row>3</xdr:row>
      <xdr:rowOff>158115</xdr:rowOff>
    </xdr:to>
    <xdr:sp macro="" textlink="">
      <xdr:nvSpPr>
        <xdr:cNvPr id="8" name="Rectángulo redondeado 7">
          <a:hlinkClick xmlns:r="http://schemas.openxmlformats.org/officeDocument/2006/relationships" r:id="rId2"/>
          <a:extLst>
            <a:ext uri="{FF2B5EF4-FFF2-40B4-BE49-F238E27FC236}">
              <a16:creationId xmlns:a16="http://schemas.microsoft.com/office/drawing/2014/main" id="{00000000-0008-0000-0400-000008000000}"/>
            </a:ext>
          </a:extLst>
        </xdr:cNvPr>
        <xdr:cNvSpPr/>
      </xdr:nvSpPr>
      <xdr:spPr>
        <a:xfrm>
          <a:off x="11839575" y="321945"/>
          <a:ext cx="2009775" cy="400050"/>
        </a:xfrm>
        <a:prstGeom prst="roundRect">
          <a:avLst/>
        </a:prstGeom>
        <a:solidFill>
          <a:srgbClr val="00B0F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419" sz="1800" b="1">
              <a:solidFill>
                <a:sysClr val="windowText" lastClr="000000"/>
              </a:solidFill>
            </a:rPr>
            <a:t>INICIO </a:t>
          </a:r>
        </a:p>
      </xdr:txBody>
    </xdr:sp>
    <xdr:clientData/>
  </xdr:twoCellAnchor>
  <xdr:oneCellAnchor>
    <xdr:from>
      <xdr:col>1</xdr:col>
      <xdr:colOff>1712601</xdr:colOff>
      <xdr:row>1</xdr:row>
      <xdr:rowOff>45535</xdr:rowOff>
    </xdr:from>
    <xdr:ext cx="8233408" cy="593304"/>
    <xdr:sp macro="" textlink="">
      <xdr:nvSpPr>
        <xdr:cNvPr id="2" name="Rectángulo 1">
          <a:extLst>
            <a:ext uri="{FF2B5EF4-FFF2-40B4-BE49-F238E27FC236}">
              <a16:creationId xmlns:a16="http://schemas.microsoft.com/office/drawing/2014/main" id="{00000000-0008-0000-0400-000002000000}"/>
            </a:ext>
          </a:extLst>
        </xdr:cNvPr>
        <xdr:cNvSpPr/>
      </xdr:nvSpPr>
      <xdr:spPr>
        <a:xfrm>
          <a:off x="2497461" y="228415"/>
          <a:ext cx="8233408" cy="593304"/>
        </a:xfrm>
        <a:prstGeom prst="rect">
          <a:avLst/>
        </a:prstGeom>
        <a:noFill/>
      </xdr:spPr>
      <xdr:txBody>
        <a:bodyPr wrap="none" lIns="91440" tIns="45720" rIns="91440" bIns="45720">
          <a:spAutoFit/>
        </a:bodyPr>
        <a:lstStyle/>
        <a:p>
          <a:pPr algn="ctr"/>
          <a:r>
            <a:rPr lang="es-ES"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PROYECCIÓN</a:t>
          </a:r>
          <a:r>
            <a:rPr lang="es-ES" sz="32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DE VENTAS DE PLAN DE NEGOCIO</a:t>
          </a:r>
          <a:endParaRPr lang="es-ES"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twoCellAnchor>
    <xdr:from>
      <xdr:col>4</xdr:col>
      <xdr:colOff>388620</xdr:colOff>
      <xdr:row>4</xdr:row>
      <xdr:rowOff>53340</xdr:rowOff>
    </xdr:from>
    <xdr:to>
      <xdr:col>4</xdr:col>
      <xdr:colOff>2330729</xdr:colOff>
      <xdr:row>6</xdr:row>
      <xdr:rowOff>75750</xdr:rowOff>
    </xdr:to>
    <xdr:sp macro="" textlink="">
      <xdr:nvSpPr>
        <xdr:cNvPr id="7" name="Rectángulo redondeado 6">
          <a:hlinkClick xmlns:r="http://schemas.openxmlformats.org/officeDocument/2006/relationships" r:id="rId3"/>
          <a:extLst>
            <a:ext uri="{FF2B5EF4-FFF2-40B4-BE49-F238E27FC236}">
              <a16:creationId xmlns:a16="http://schemas.microsoft.com/office/drawing/2014/main" id="{00000000-0008-0000-0400-000007000000}"/>
            </a:ext>
          </a:extLst>
        </xdr:cNvPr>
        <xdr:cNvSpPr/>
      </xdr:nvSpPr>
      <xdr:spPr>
        <a:xfrm>
          <a:off x="11887200" y="81534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200026</xdr:colOff>
      <xdr:row>21</xdr:row>
      <xdr:rowOff>47626</xdr:rowOff>
    </xdr:from>
    <xdr:to>
      <xdr:col>7</xdr:col>
      <xdr:colOff>762000</xdr:colOff>
      <xdr:row>26</xdr:row>
      <xdr:rowOff>152401</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0401301" y="3371851"/>
          <a:ext cx="4448174"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MATERIA PRIMA E INSUMOS que se requiere para obtener el producto y/o servicio </a:t>
          </a:r>
          <a:endParaRPr lang="es-CO" sz="2000" b="1"/>
        </a:p>
      </xdr:txBody>
    </xdr:sp>
    <xdr:clientData/>
  </xdr:twoCellAnchor>
  <xdr:twoCellAnchor>
    <xdr:from>
      <xdr:col>1</xdr:col>
      <xdr:colOff>171451</xdr:colOff>
      <xdr:row>9</xdr:row>
      <xdr:rowOff>133351</xdr:rowOff>
    </xdr:from>
    <xdr:to>
      <xdr:col>3</xdr:col>
      <xdr:colOff>3371851</xdr:colOff>
      <xdr:row>12</xdr:row>
      <xdr:rowOff>95251</xdr:rowOff>
    </xdr:to>
    <xdr:sp macro="" textlink="">
      <xdr:nvSpPr>
        <xdr:cNvPr id="7" name="CuadroTexto 6">
          <a:extLst>
            <a:ext uri="{FF2B5EF4-FFF2-40B4-BE49-F238E27FC236}">
              <a16:creationId xmlns:a16="http://schemas.microsoft.com/office/drawing/2014/main" id="{00000000-0008-0000-0500-000007000000}"/>
            </a:ext>
          </a:extLst>
        </xdr:cNvPr>
        <xdr:cNvSpPr txBox="1"/>
      </xdr:nvSpPr>
      <xdr:spPr>
        <a:xfrm>
          <a:off x="933451" y="1104901"/>
          <a:ext cx="9182100" cy="533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400" b="1" u="sng"/>
            <a:t>Materia prima e insumos </a:t>
          </a:r>
          <a:endParaRPr lang="es-CO" sz="2400" b="1"/>
        </a:p>
      </xdr:txBody>
    </xdr:sp>
    <xdr:clientData/>
  </xdr:twoCellAnchor>
  <xdr:twoCellAnchor>
    <xdr:from>
      <xdr:col>3</xdr:col>
      <xdr:colOff>259079</xdr:colOff>
      <xdr:row>1</xdr:row>
      <xdr:rowOff>40006</xdr:rowOff>
    </xdr:from>
    <xdr:to>
      <xdr:col>3</xdr:col>
      <xdr:colOff>3406140</xdr:colOff>
      <xdr:row>5</xdr:row>
      <xdr:rowOff>137159</xdr:rowOff>
    </xdr:to>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7193279" y="222886"/>
          <a:ext cx="3147061" cy="935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xdr:from>
      <xdr:col>1</xdr:col>
      <xdr:colOff>66675</xdr:colOff>
      <xdr:row>68</xdr:row>
      <xdr:rowOff>19050</xdr:rowOff>
    </xdr:from>
    <xdr:to>
      <xdr:col>3</xdr:col>
      <xdr:colOff>3267075</xdr:colOff>
      <xdr:row>70</xdr:row>
      <xdr:rowOff>171450</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828675" y="12934950"/>
          <a:ext cx="9182100"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s-CO" sz="2400" b="1" u="sng"/>
            <a:t>Mano de obra directa</a:t>
          </a:r>
        </a:p>
        <a:p>
          <a:pPr algn="ctr"/>
          <a:endParaRPr lang="es-CO" sz="2400" b="1"/>
        </a:p>
      </xdr:txBody>
    </xdr:sp>
    <xdr:clientData/>
  </xdr:twoCellAnchor>
  <xdr:twoCellAnchor>
    <xdr:from>
      <xdr:col>3</xdr:col>
      <xdr:colOff>466725</xdr:colOff>
      <xdr:row>74</xdr:row>
      <xdr:rowOff>190500</xdr:rowOff>
    </xdr:from>
    <xdr:to>
      <xdr:col>5</xdr:col>
      <xdr:colOff>1181100</xdr:colOff>
      <xdr:row>80</xdr:row>
      <xdr:rowOff>95250</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7210425" y="142684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MANO DE OBRA DIRECTA que se requiere para obtener el producto y/o servicio </a:t>
          </a:r>
          <a:endParaRPr lang="es-CO" sz="2000" b="1"/>
        </a:p>
      </xdr:txBody>
    </xdr:sp>
    <xdr:clientData/>
  </xdr:twoCellAnchor>
  <xdr:twoCellAnchor>
    <xdr:from>
      <xdr:col>1</xdr:col>
      <xdr:colOff>0</xdr:colOff>
      <xdr:row>120</xdr:row>
      <xdr:rowOff>0</xdr:rowOff>
    </xdr:from>
    <xdr:to>
      <xdr:col>3</xdr:col>
      <xdr:colOff>3200400</xdr:colOff>
      <xdr:row>122</xdr:row>
      <xdr:rowOff>152400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762000" y="22231350"/>
          <a:ext cx="9182100" cy="533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algn="ctr"/>
          <a:r>
            <a:rPr lang="es-CO" sz="2400" b="1" u="sng"/>
            <a:t>Costo indirecto (cif)</a:t>
          </a:r>
        </a:p>
        <a:p>
          <a:pPr algn="ctr"/>
          <a:endParaRPr lang="es-CO" sz="2400" b="1"/>
        </a:p>
      </xdr:txBody>
    </xdr:sp>
    <xdr:clientData/>
  </xdr:twoCellAnchor>
  <xdr:twoCellAnchor>
    <xdr:from>
      <xdr:col>3</xdr:col>
      <xdr:colOff>371475</xdr:colOff>
      <xdr:row>127</xdr:row>
      <xdr:rowOff>47625</xdr:rowOff>
    </xdr:from>
    <xdr:to>
      <xdr:col>5</xdr:col>
      <xdr:colOff>1085850</xdr:colOff>
      <xdr:row>132</xdr:row>
      <xdr:rowOff>152400</xdr:rowOff>
    </xdr:to>
    <xdr:sp macro="" textlink="">
      <xdr:nvSpPr>
        <xdr:cNvPr id="24" name="CuadroTexto 23">
          <a:extLst>
            <a:ext uri="{FF2B5EF4-FFF2-40B4-BE49-F238E27FC236}">
              <a16:creationId xmlns:a16="http://schemas.microsoft.com/office/drawing/2014/main" id="{00000000-0008-0000-0500-000018000000}"/>
            </a:ext>
          </a:extLst>
        </xdr:cNvPr>
        <xdr:cNvSpPr txBox="1"/>
      </xdr:nvSpPr>
      <xdr:spPr>
        <a:xfrm>
          <a:off x="7115175" y="236410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del COSTO INDIRECTO que se requiere para obtener el producto y/o servicio </a:t>
          </a:r>
          <a:endParaRPr lang="es-CO" sz="2000" b="1"/>
        </a:p>
      </xdr:txBody>
    </xdr:sp>
    <xdr:clientData/>
  </xdr:twoCellAnchor>
  <xdr:twoCellAnchor>
    <xdr:from>
      <xdr:col>26</xdr:col>
      <xdr:colOff>819150</xdr:colOff>
      <xdr:row>41</xdr:row>
      <xdr:rowOff>66675</xdr:rowOff>
    </xdr:from>
    <xdr:to>
      <xdr:col>30</xdr:col>
      <xdr:colOff>1104900</xdr:colOff>
      <xdr:row>43</xdr:row>
      <xdr:rowOff>0</xdr:rowOff>
    </xdr:to>
    <xdr:sp macro="" textlink="">
      <xdr:nvSpPr>
        <xdr:cNvPr id="38" name="CuadroTexto 37">
          <a:extLst>
            <a:ext uri="{FF2B5EF4-FFF2-40B4-BE49-F238E27FC236}">
              <a16:creationId xmlns:a16="http://schemas.microsoft.com/office/drawing/2014/main" id="{00000000-0008-0000-0500-000026000000}"/>
            </a:ext>
          </a:extLst>
        </xdr:cNvPr>
        <xdr:cNvSpPr txBox="1"/>
      </xdr:nvSpPr>
      <xdr:spPr>
        <a:xfrm>
          <a:off x="47291625" y="75438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26</xdr:col>
      <xdr:colOff>66675</xdr:colOff>
      <xdr:row>42</xdr:row>
      <xdr:rowOff>104775</xdr:rowOff>
    </xdr:from>
    <xdr:to>
      <xdr:col>26</xdr:col>
      <xdr:colOff>733425</xdr:colOff>
      <xdr:row>42</xdr:row>
      <xdr:rowOff>104775</xdr:rowOff>
    </xdr:to>
    <xdr:cxnSp macro="">
      <xdr:nvCxnSpPr>
        <xdr:cNvPr id="28" name="Conector recto de flecha 27">
          <a:extLst>
            <a:ext uri="{FF2B5EF4-FFF2-40B4-BE49-F238E27FC236}">
              <a16:creationId xmlns:a16="http://schemas.microsoft.com/office/drawing/2014/main" id="{00000000-0008-0000-0500-00001C000000}"/>
            </a:ext>
          </a:extLst>
        </xdr:cNvPr>
        <xdr:cNvCxnSpPr/>
      </xdr:nvCxnSpPr>
      <xdr:spPr>
        <a:xfrm flipH="1">
          <a:off x="46539150" y="7781925"/>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28575</xdr:colOff>
      <xdr:row>90</xdr:row>
      <xdr:rowOff>95250</xdr:rowOff>
    </xdr:from>
    <xdr:to>
      <xdr:col>15</xdr:col>
      <xdr:colOff>695325</xdr:colOff>
      <xdr:row>90</xdr:row>
      <xdr:rowOff>95250</xdr:rowOff>
    </xdr:to>
    <xdr:cxnSp macro="">
      <xdr:nvCxnSpPr>
        <xdr:cNvPr id="43" name="Conector recto de flecha 42">
          <a:extLst>
            <a:ext uri="{FF2B5EF4-FFF2-40B4-BE49-F238E27FC236}">
              <a16:creationId xmlns:a16="http://schemas.microsoft.com/office/drawing/2014/main" id="{00000000-0008-0000-0500-00002B000000}"/>
            </a:ext>
          </a:extLst>
        </xdr:cNvPr>
        <xdr:cNvCxnSpPr/>
      </xdr:nvCxnSpPr>
      <xdr:spPr>
        <a:xfrm flipH="1">
          <a:off x="32204025" y="1769745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66675</xdr:colOff>
      <xdr:row>142</xdr:row>
      <xdr:rowOff>123825</xdr:rowOff>
    </xdr:from>
    <xdr:to>
      <xdr:col>15</xdr:col>
      <xdr:colOff>733425</xdr:colOff>
      <xdr:row>142</xdr:row>
      <xdr:rowOff>123825</xdr:rowOff>
    </xdr:to>
    <xdr:cxnSp macro="">
      <xdr:nvCxnSpPr>
        <xdr:cNvPr id="44" name="Conector recto de flecha 43">
          <a:extLst>
            <a:ext uri="{FF2B5EF4-FFF2-40B4-BE49-F238E27FC236}">
              <a16:creationId xmlns:a16="http://schemas.microsoft.com/office/drawing/2014/main" id="{00000000-0008-0000-0500-00002C000000}"/>
            </a:ext>
          </a:extLst>
        </xdr:cNvPr>
        <xdr:cNvCxnSpPr/>
      </xdr:nvCxnSpPr>
      <xdr:spPr>
        <a:xfrm flipH="1">
          <a:off x="32242125" y="2861310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781050</xdr:colOff>
      <xdr:row>89</xdr:row>
      <xdr:rowOff>76200</xdr:rowOff>
    </xdr:from>
    <xdr:to>
      <xdr:col>17</xdr:col>
      <xdr:colOff>1485900</xdr:colOff>
      <xdr:row>91</xdr:row>
      <xdr:rowOff>0</xdr:rowOff>
    </xdr:to>
    <xdr:sp macro="" textlink="">
      <xdr:nvSpPr>
        <xdr:cNvPr id="45" name="CuadroTexto 44">
          <a:extLst>
            <a:ext uri="{FF2B5EF4-FFF2-40B4-BE49-F238E27FC236}">
              <a16:creationId xmlns:a16="http://schemas.microsoft.com/office/drawing/2014/main" id="{00000000-0008-0000-0500-00002D000000}"/>
            </a:ext>
          </a:extLst>
        </xdr:cNvPr>
        <xdr:cNvSpPr txBox="1"/>
      </xdr:nvSpPr>
      <xdr:spPr>
        <a:xfrm>
          <a:off x="32956500" y="17478375"/>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15</xdr:col>
      <xdr:colOff>809625</xdr:colOff>
      <xdr:row>141</xdr:row>
      <xdr:rowOff>95250</xdr:rowOff>
    </xdr:from>
    <xdr:to>
      <xdr:col>17</xdr:col>
      <xdr:colOff>1514475</xdr:colOff>
      <xdr:row>143</xdr:row>
      <xdr:rowOff>0</xdr:rowOff>
    </xdr:to>
    <xdr:sp macro="" textlink="">
      <xdr:nvSpPr>
        <xdr:cNvPr id="46" name="CuadroTexto 45">
          <a:extLst>
            <a:ext uri="{FF2B5EF4-FFF2-40B4-BE49-F238E27FC236}">
              <a16:creationId xmlns:a16="http://schemas.microsoft.com/office/drawing/2014/main" id="{00000000-0008-0000-0500-00002E000000}"/>
            </a:ext>
          </a:extLst>
        </xdr:cNvPr>
        <xdr:cNvSpPr txBox="1"/>
      </xdr:nvSpPr>
      <xdr:spPr>
        <a:xfrm>
          <a:off x="32985075" y="283845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1</xdr:col>
      <xdr:colOff>198120</xdr:colOff>
      <xdr:row>4</xdr:row>
      <xdr:rowOff>22860</xdr:rowOff>
    </xdr:from>
    <xdr:to>
      <xdr:col>1</xdr:col>
      <xdr:colOff>2207895</xdr:colOff>
      <xdr:row>6</xdr:row>
      <xdr:rowOff>41910</xdr:rowOff>
    </xdr:to>
    <xdr:sp macro="" textlink="">
      <xdr:nvSpPr>
        <xdr:cNvPr id="47" name="Rectángulo redondeado 46">
          <a:hlinkClick xmlns:r="http://schemas.openxmlformats.org/officeDocument/2006/relationships" r:id="rId1"/>
          <a:extLst>
            <a:ext uri="{FF2B5EF4-FFF2-40B4-BE49-F238E27FC236}">
              <a16:creationId xmlns:a16="http://schemas.microsoft.com/office/drawing/2014/main" id="{00000000-0008-0000-0500-00002F000000}"/>
            </a:ext>
          </a:extLst>
        </xdr:cNvPr>
        <xdr:cNvSpPr/>
      </xdr:nvSpPr>
      <xdr:spPr>
        <a:xfrm>
          <a:off x="982980" y="784860"/>
          <a:ext cx="2009775" cy="415290"/>
        </a:xfrm>
        <a:prstGeom prst="roundRect">
          <a:avLst/>
        </a:prstGeom>
        <a:solidFill>
          <a:srgbClr val="00B0F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419" sz="1800" b="1">
              <a:solidFill>
                <a:sysClr val="windowText" lastClr="000000"/>
              </a:solidFill>
            </a:rPr>
            <a:t>INICIO </a:t>
          </a:r>
        </a:p>
      </xdr:txBody>
    </xdr:sp>
    <xdr:clientData/>
  </xdr:twoCellAnchor>
  <xdr:twoCellAnchor>
    <xdr:from>
      <xdr:col>1</xdr:col>
      <xdr:colOff>2407920</xdr:colOff>
      <xdr:row>4</xdr:row>
      <xdr:rowOff>15240</xdr:rowOff>
    </xdr:from>
    <xdr:to>
      <xdr:col>2</xdr:col>
      <xdr:colOff>1667789</xdr:colOff>
      <xdr:row>6</xdr:row>
      <xdr:rowOff>37650</xdr:rowOff>
    </xdr:to>
    <xdr:sp macro="" textlink="">
      <xdr:nvSpPr>
        <xdr:cNvPr id="48" name="Rectángulo redondeado 47">
          <a:hlinkClick xmlns:r="http://schemas.openxmlformats.org/officeDocument/2006/relationships" r:id="rId2"/>
          <a:extLst>
            <a:ext uri="{FF2B5EF4-FFF2-40B4-BE49-F238E27FC236}">
              <a16:creationId xmlns:a16="http://schemas.microsoft.com/office/drawing/2014/main" id="{00000000-0008-0000-0500-000030000000}"/>
            </a:ext>
          </a:extLst>
        </xdr:cNvPr>
        <xdr:cNvSpPr/>
      </xdr:nvSpPr>
      <xdr:spPr>
        <a:xfrm>
          <a:off x="3192780" y="83820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257174</xdr:colOff>
      <xdr:row>24</xdr:row>
      <xdr:rowOff>190499</xdr:rowOff>
    </xdr:from>
    <xdr:to>
      <xdr:col>7</xdr:col>
      <xdr:colOff>2686049</xdr:colOff>
      <xdr:row>29</xdr:row>
      <xdr:rowOff>4762</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12534899" y="4962524"/>
          <a:ext cx="2428875" cy="7858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EN BLANCO son modificables en esta</a:t>
          </a:r>
          <a:r>
            <a:rPr lang="es-CO" sz="1400" b="1" baseline="0"/>
            <a:t> página.</a:t>
          </a:r>
          <a:endParaRPr lang="es-CO" sz="1400" b="1"/>
        </a:p>
      </xdr:txBody>
    </xdr:sp>
    <xdr:clientData/>
  </xdr:twoCellAnchor>
  <xdr:twoCellAnchor editAs="oneCell">
    <xdr:from>
      <xdr:col>15</xdr:col>
      <xdr:colOff>1174750</xdr:colOff>
      <xdr:row>1</xdr:row>
      <xdr:rowOff>42333</xdr:rowOff>
    </xdr:from>
    <xdr:to>
      <xdr:col>16</xdr:col>
      <xdr:colOff>1561715</xdr:colOff>
      <xdr:row>8</xdr:row>
      <xdr:rowOff>2640</xdr:rowOff>
    </xdr:to>
    <xdr:pic>
      <xdr:nvPicPr>
        <xdr:cNvPr id="16" name="Picture 8" descr="La Salle New">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1"/>
        <a:srcRect/>
        <a:stretch>
          <a:fillRect/>
        </a:stretch>
      </xdr:blipFill>
      <xdr:spPr>
        <a:xfrm>
          <a:off x="34406417" y="232833"/>
          <a:ext cx="3180965" cy="1346724"/>
        </a:xfrm>
        <a:prstGeom prst="rect">
          <a:avLst/>
        </a:prstGeom>
        <a:noFill/>
        <a:ln cap="flat">
          <a:noFill/>
        </a:ln>
      </xdr:spPr>
    </xdr:pic>
    <xdr:clientData/>
  </xdr:twoCellAnchor>
  <xdr:twoCellAnchor>
    <xdr:from>
      <xdr:col>6</xdr:col>
      <xdr:colOff>381000</xdr:colOff>
      <xdr:row>0</xdr:row>
      <xdr:rowOff>175260</xdr:rowOff>
    </xdr:from>
    <xdr:to>
      <xdr:col>6</xdr:col>
      <xdr:colOff>2390775</xdr:colOff>
      <xdr:row>3</xdr:row>
      <xdr:rowOff>41910</xdr:rowOff>
    </xdr:to>
    <xdr:sp macro="" textlink="">
      <xdr:nvSpPr>
        <xdr:cNvPr id="15" name="Rectángulo redondeado 14">
          <a:hlinkClick xmlns:r="http://schemas.openxmlformats.org/officeDocument/2006/relationships" r:id="rId2"/>
          <a:extLst>
            <a:ext uri="{FF2B5EF4-FFF2-40B4-BE49-F238E27FC236}">
              <a16:creationId xmlns:a16="http://schemas.microsoft.com/office/drawing/2014/main" id="{00000000-0008-0000-0600-00000F000000}"/>
            </a:ext>
          </a:extLst>
        </xdr:cNvPr>
        <xdr:cNvSpPr/>
      </xdr:nvSpPr>
      <xdr:spPr>
        <a:xfrm>
          <a:off x="10012680" y="175260"/>
          <a:ext cx="2009775" cy="415290"/>
        </a:xfrm>
        <a:prstGeom prst="roundRect">
          <a:avLst/>
        </a:prstGeom>
        <a:solidFill>
          <a:srgbClr val="00B0F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419" sz="1800" b="1">
              <a:solidFill>
                <a:sysClr val="windowText" lastClr="000000"/>
              </a:solidFill>
            </a:rPr>
            <a:t>INICIO </a:t>
          </a:r>
        </a:p>
      </xdr:txBody>
    </xdr:sp>
    <xdr:clientData/>
  </xdr:twoCellAnchor>
  <xdr:twoCellAnchor>
    <xdr:from>
      <xdr:col>6</xdr:col>
      <xdr:colOff>2788920</xdr:colOff>
      <xdr:row>1</xdr:row>
      <xdr:rowOff>0</xdr:rowOff>
    </xdr:from>
    <xdr:to>
      <xdr:col>7</xdr:col>
      <xdr:colOff>1721129</xdr:colOff>
      <xdr:row>3</xdr:row>
      <xdr:rowOff>52890</xdr:rowOff>
    </xdr:to>
    <xdr:sp macro="" textlink="">
      <xdr:nvSpPr>
        <xdr:cNvPr id="18" name="Rectángulo redondeado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12420600" y="18288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1430</xdr:colOff>
      <xdr:row>131</xdr:row>
      <xdr:rowOff>10953</xdr:rowOff>
    </xdr:from>
    <xdr:to>
      <xdr:col>12</xdr:col>
      <xdr:colOff>11907</xdr:colOff>
      <xdr:row>133</xdr:row>
      <xdr:rowOff>67627</xdr:rowOff>
    </xdr:to>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13264993" y="27907297"/>
          <a:ext cx="8535352" cy="461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150520</xdr:rowOff>
    </xdr:to>
    <xdr:pic>
      <xdr:nvPicPr>
        <xdr:cNvPr id="9" name="Picture 8" descr="La Salle New">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700-00000A000000}"/>
            </a:ext>
          </a:extLst>
        </xdr:cNvPr>
        <xdr:cNvSpPr/>
      </xdr:nvSpPr>
      <xdr:spPr>
        <a:xfrm rot="10800009" flipV="1">
          <a:off x="1" y="12"/>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1162049</xdr:colOff>
      <xdr:row>4</xdr:row>
      <xdr:rowOff>7144</xdr:rowOff>
    </xdr:from>
    <xdr:to>
      <xdr:col>6</xdr:col>
      <xdr:colOff>2107405</xdr:colOff>
      <xdr:row>10</xdr:row>
      <xdr:rowOff>95249</xdr:rowOff>
    </xdr:to>
    <xdr:sp macro="" textlink="">
      <xdr:nvSpPr>
        <xdr:cNvPr id="11" name="CuadroTexto 10">
          <a:extLst>
            <a:ext uri="{FF2B5EF4-FFF2-40B4-BE49-F238E27FC236}">
              <a16:creationId xmlns:a16="http://schemas.microsoft.com/office/drawing/2014/main" id="{00000000-0008-0000-0700-00000B000000}"/>
            </a:ext>
          </a:extLst>
        </xdr:cNvPr>
        <xdr:cNvSpPr txBox="1"/>
      </xdr:nvSpPr>
      <xdr:spPr>
        <a:xfrm>
          <a:off x="11925299" y="769144"/>
          <a:ext cx="3445669" cy="1254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xdr:twoCellAnchor>
    <xdr:from>
      <xdr:col>3</xdr:col>
      <xdr:colOff>1905000</xdr:colOff>
      <xdr:row>0</xdr:row>
      <xdr:rowOff>144780</xdr:rowOff>
    </xdr:from>
    <xdr:to>
      <xdr:col>5</xdr:col>
      <xdr:colOff>523875</xdr:colOff>
      <xdr:row>3</xdr:row>
      <xdr:rowOff>34290</xdr:rowOff>
    </xdr:to>
    <xdr:sp macro="" textlink="">
      <xdr:nvSpPr>
        <xdr:cNvPr id="8" name="Rectángulo redondeado 7">
          <a:hlinkClick xmlns:r="http://schemas.openxmlformats.org/officeDocument/2006/relationships" r:id="rId2"/>
          <a:extLst>
            <a:ext uri="{FF2B5EF4-FFF2-40B4-BE49-F238E27FC236}">
              <a16:creationId xmlns:a16="http://schemas.microsoft.com/office/drawing/2014/main" id="{00000000-0008-0000-0700-000008000000}"/>
            </a:ext>
          </a:extLst>
        </xdr:cNvPr>
        <xdr:cNvSpPr/>
      </xdr:nvSpPr>
      <xdr:spPr>
        <a:xfrm>
          <a:off x="11049000" y="144780"/>
          <a:ext cx="2009775" cy="415290"/>
        </a:xfrm>
        <a:prstGeom prst="roundRect">
          <a:avLst/>
        </a:prstGeom>
        <a:solidFill>
          <a:srgbClr val="00B0F0"/>
        </a:solidFill>
        <a:ln w="12700" cap="flat" cmpd="sng" algn="ctr">
          <a:solidFill>
            <a:srgbClr val="E48312"/>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1800" b="1" i="0" u="none" strike="noStrike" kern="0" cap="none" spc="0" normalizeH="0" baseline="0" noProof="0">
              <a:ln>
                <a:noFill/>
              </a:ln>
              <a:solidFill>
                <a:sysClr val="windowText" lastClr="000000"/>
              </a:solidFill>
              <a:effectLst/>
              <a:uLnTx/>
              <a:uFillTx/>
              <a:latin typeface="Calibri" panose="020F0502020204030204"/>
              <a:ea typeface="+mn-ea"/>
              <a:cs typeface="+mn-cs"/>
            </a:rPr>
            <a:t>INICIO </a:t>
          </a:r>
        </a:p>
      </xdr:txBody>
    </xdr:sp>
    <xdr:clientData/>
  </xdr:twoCellAnchor>
  <xdr:twoCellAnchor>
    <xdr:from>
      <xdr:col>5</xdr:col>
      <xdr:colOff>899160</xdr:colOff>
      <xdr:row>0</xdr:row>
      <xdr:rowOff>144780</xdr:rowOff>
    </xdr:from>
    <xdr:to>
      <xdr:col>6</xdr:col>
      <xdr:colOff>1721129</xdr:colOff>
      <xdr:row>3</xdr:row>
      <xdr:rowOff>37650</xdr:rowOff>
    </xdr:to>
    <xdr:sp macro="" textlink="">
      <xdr:nvSpPr>
        <xdr:cNvPr id="7" name="Rectángulo redondeado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13434060" y="14478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xdr:colOff>
      <xdr:row>0</xdr:row>
      <xdr:rowOff>7621</xdr:rowOff>
    </xdr:from>
    <xdr:to>
      <xdr:col>7</xdr:col>
      <xdr:colOff>615514</xdr:colOff>
      <xdr:row>4</xdr:row>
      <xdr:rowOff>54884</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rot="10800009" flipV="1">
          <a:off x="1" y="7621"/>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5</xdr:col>
      <xdr:colOff>407670</xdr:colOff>
      <xdr:row>12</xdr:row>
      <xdr:rowOff>11429</xdr:rowOff>
    </xdr:from>
    <xdr:to>
      <xdr:col>7</xdr:col>
      <xdr:colOff>381000</xdr:colOff>
      <xdr:row>20</xdr:row>
      <xdr:rowOff>85724</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6027420" y="2345054"/>
          <a:ext cx="2449830" cy="1636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xdr:twoCellAnchor editAs="oneCell">
    <xdr:from>
      <xdr:col>5</xdr:col>
      <xdr:colOff>640080</xdr:colOff>
      <xdr:row>5</xdr:row>
      <xdr:rowOff>175260</xdr:rowOff>
    </xdr:from>
    <xdr:to>
      <xdr:col>7</xdr:col>
      <xdr:colOff>74851</xdr:colOff>
      <xdr:row>8</xdr:row>
      <xdr:rowOff>60997</xdr:rowOff>
    </xdr:to>
    <xdr:pic>
      <xdr:nvPicPr>
        <xdr:cNvPr id="6" name="Imagen 5">
          <a:hlinkClick xmlns:r="http://schemas.openxmlformats.org/officeDocument/2006/relationships" r:id="rId1"/>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a:stretch>
          <a:fillRect/>
        </a:stretch>
      </xdr:blipFill>
      <xdr:spPr>
        <a:xfrm>
          <a:off x="8648700" y="1051560"/>
          <a:ext cx="2017951" cy="426757"/>
        </a:xfrm>
        <a:prstGeom prst="rect">
          <a:avLst/>
        </a:prstGeom>
        <a:solidFill>
          <a:srgbClr val="00B0F0"/>
        </a:solidFill>
      </xdr:spPr>
    </xdr:pic>
    <xdr:clientData/>
  </xdr:twoCellAnchor>
  <xdr:twoCellAnchor>
    <xdr:from>
      <xdr:col>5</xdr:col>
      <xdr:colOff>678180</xdr:colOff>
      <xdr:row>8</xdr:row>
      <xdr:rowOff>167640</xdr:rowOff>
    </xdr:from>
    <xdr:to>
      <xdr:col>7</xdr:col>
      <xdr:colOff>37109</xdr:colOff>
      <xdr:row>11</xdr:row>
      <xdr:rowOff>45270</xdr:rowOff>
    </xdr:to>
    <xdr:sp macro="" textlink="">
      <xdr:nvSpPr>
        <xdr:cNvPr id="5" name="Rectángulo redondeado 4">
          <a:hlinkClick xmlns:r="http://schemas.openxmlformats.org/officeDocument/2006/relationships" r:id="rId3"/>
          <a:extLst>
            <a:ext uri="{FF2B5EF4-FFF2-40B4-BE49-F238E27FC236}">
              <a16:creationId xmlns:a16="http://schemas.microsoft.com/office/drawing/2014/main" id="{00000000-0008-0000-0800-000005000000}"/>
            </a:ext>
          </a:extLst>
        </xdr:cNvPr>
        <xdr:cNvSpPr/>
      </xdr:nvSpPr>
      <xdr:spPr>
        <a:xfrm>
          <a:off x="8686800" y="158496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217715</xdr:colOff>
      <xdr:row>16</xdr:row>
      <xdr:rowOff>171450</xdr:rowOff>
    </xdr:from>
    <xdr:to>
      <xdr:col>6</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541020</xdr:colOff>
      <xdr:row>16</xdr:row>
      <xdr:rowOff>15240</xdr:rowOff>
    </xdr:from>
    <xdr:to>
      <xdr:col>2</xdr:col>
      <xdr:colOff>330812</xdr:colOff>
      <xdr:row>23</xdr:row>
      <xdr:rowOff>21933</xdr:rowOff>
    </xdr:to>
    <xdr:pic>
      <xdr:nvPicPr>
        <xdr:cNvPr id="4" name="Picture 8" descr="La Salle New">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xdr:twoCellAnchor>
    <xdr:from>
      <xdr:col>1</xdr:col>
      <xdr:colOff>1021080</xdr:colOff>
      <xdr:row>24</xdr:row>
      <xdr:rowOff>129540</xdr:rowOff>
    </xdr:from>
    <xdr:to>
      <xdr:col>1</xdr:col>
      <xdr:colOff>3030855</xdr:colOff>
      <xdr:row>27</xdr:row>
      <xdr:rowOff>19050</xdr:rowOff>
    </xdr:to>
    <xdr:sp macro="" textlink="">
      <xdr:nvSpPr>
        <xdr:cNvPr id="8" name="Rectángulo redondeado 7">
          <a:hlinkClick xmlns:r="http://schemas.openxmlformats.org/officeDocument/2006/relationships" r:id="rId3"/>
          <a:extLst>
            <a:ext uri="{FF2B5EF4-FFF2-40B4-BE49-F238E27FC236}">
              <a16:creationId xmlns:a16="http://schemas.microsoft.com/office/drawing/2014/main" id="{00000000-0008-0000-0900-000008000000}"/>
            </a:ext>
          </a:extLst>
        </xdr:cNvPr>
        <xdr:cNvSpPr/>
      </xdr:nvSpPr>
      <xdr:spPr>
        <a:xfrm>
          <a:off x="1805940" y="4351020"/>
          <a:ext cx="2009775" cy="415290"/>
        </a:xfrm>
        <a:prstGeom prst="roundRect">
          <a:avLst/>
        </a:prstGeom>
        <a:solidFill>
          <a:srgbClr val="00B0F0"/>
        </a:solidFill>
        <a:ln w="12700" cap="flat" cmpd="sng" algn="ctr">
          <a:solidFill>
            <a:srgbClr val="E48312"/>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1800" b="1" i="0" u="none" strike="noStrike" kern="0" cap="none" spc="0" normalizeH="0" baseline="0" noProof="0">
              <a:ln>
                <a:noFill/>
              </a:ln>
              <a:solidFill>
                <a:sysClr val="windowText" lastClr="000000"/>
              </a:solidFill>
              <a:effectLst/>
              <a:uLnTx/>
              <a:uFillTx/>
              <a:latin typeface="Calibri" panose="020F0502020204030204"/>
              <a:ea typeface="+mn-ea"/>
              <a:cs typeface="+mn-cs"/>
            </a:rPr>
            <a:t>INICIO </a:t>
          </a:r>
        </a:p>
      </xdr:txBody>
    </xdr:sp>
    <xdr:clientData/>
  </xdr:twoCellAnchor>
  <xdr:twoCellAnchor>
    <xdr:from>
      <xdr:col>1</xdr:col>
      <xdr:colOff>1059180</xdr:colOff>
      <xdr:row>27</xdr:row>
      <xdr:rowOff>137160</xdr:rowOff>
    </xdr:from>
    <xdr:to>
      <xdr:col>1</xdr:col>
      <xdr:colOff>3001289</xdr:colOff>
      <xdr:row>30</xdr:row>
      <xdr:rowOff>30030</xdr:rowOff>
    </xdr:to>
    <xdr:sp macro="" textlink="">
      <xdr:nvSpPr>
        <xdr:cNvPr id="5" name="Rectángulo redondeado 4">
          <a:hlinkClick xmlns:r="http://schemas.openxmlformats.org/officeDocument/2006/relationships" r:id="rId4"/>
          <a:extLst>
            <a:ext uri="{FF2B5EF4-FFF2-40B4-BE49-F238E27FC236}">
              <a16:creationId xmlns:a16="http://schemas.microsoft.com/office/drawing/2014/main" id="{00000000-0008-0000-0900-000005000000}"/>
            </a:ext>
          </a:extLst>
        </xdr:cNvPr>
        <xdr:cNvSpPr/>
      </xdr:nvSpPr>
      <xdr:spPr>
        <a:xfrm>
          <a:off x="1844040" y="488442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2247900</xdr:colOff>
      <xdr:row>9</xdr:row>
      <xdr:rowOff>14287</xdr:rowOff>
    </xdr:from>
    <xdr:to>
      <xdr:col>11</xdr:col>
      <xdr:colOff>752475</xdr:colOff>
      <xdr:row>33</xdr:row>
      <xdr:rowOff>14287</xdr:rowOff>
    </xdr:to>
    <xdr:graphicFrame macro="">
      <xdr:nvGraphicFramePr>
        <xdr:cNvPr id="8" name="Gráfico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11</xdr:row>
      <xdr:rowOff>47626</xdr:rowOff>
    </xdr:from>
    <xdr:to>
      <xdr:col>7</xdr:col>
      <xdr:colOff>209550</xdr:colOff>
      <xdr:row>13</xdr:row>
      <xdr:rowOff>142876</xdr:rowOff>
    </xdr:to>
    <xdr:sp macro="" textlink="">
      <xdr:nvSpPr>
        <xdr:cNvPr id="18" name="CuadroTexto 17">
          <a:extLst>
            <a:ext uri="{FF2B5EF4-FFF2-40B4-BE49-F238E27FC236}">
              <a16:creationId xmlns:a16="http://schemas.microsoft.com/office/drawing/2014/main" id="{00000000-0008-0000-0A00-000012000000}"/>
            </a:ext>
          </a:extLst>
        </xdr:cNvPr>
        <xdr:cNvSpPr txBox="1"/>
      </xdr:nvSpPr>
      <xdr:spPr>
        <a:xfrm>
          <a:off x="3048000" y="261937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542925</xdr:colOff>
      <xdr:row>13</xdr:row>
      <xdr:rowOff>142875</xdr:rowOff>
    </xdr:from>
    <xdr:to>
      <xdr:col>4</xdr:col>
      <xdr:colOff>542925</xdr:colOff>
      <xdr:row>15</xdr:row>
      <xdr:rowOff>180975</xdr:rowOff>
    </xdr:to>
    <xdr:cxnSp macro="">
      <xdr:nvCxnSpPr>
        <xdr:cNvPr id="15" name="Conector recto de flecha 14">
          <a:extLst>
            <a:ext uri="{FF2B5EF4-FFF2-40B4-BE49-F238E27FC236}">
              <a16:creationId xmlns:a16="http://schemas.microsoft.com/office/drawing/2014/main" id="{00000000-0008-0000-0A00-00000F000000}"/>
            </a:ext>
          </a:extLst>
        </xdr:cNvPr>
        <xdr:cNvCxnSpPr/>
      </xdr:nvCxnSpPr>
      <xdr:spPr>
        <a:xfrm>
          <a:off x="3590925" y="3114675"/>
          <a:ext cx="0" cy="4286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8</xdr:col>
      <xdr:colOff>794303</xdr:colOff>
      <xdr:row>0</xdr:row>
      <xdr:rowOff>114300</xdr:rowOff>
    </xdr:from>
    <xdr:to>
      <xdr:col>9</xdr:col>
      <xdr:colOff>1247117</xdr:colOff>
      <xdr:row>6</xdr:row>
      <xdr:rowOff>95250</xdr:rowOff>
    </xdr:to>
    <xdr:pic>
      <xdr:nvPicPr>
        <xdr:cNvPr id="19" name="Picture 8" descr="La Salle New">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2"/>
        <a:srcRect/>
        <a:stretch>
          <a:fillRect/>
        </a:stretch>
      </xdr:blipFill>
      <xdr:spPr>
        <a:xfrm>
          <a:off x="14300753" y="114300"/>
          <a:ext cx="2805489" cy="1171575"/>
        </a:xfrm>
        <a:prstGeom prst="rect">
          <a:avLst/>
        </a:prstGeom>
        <a:noFill/>
        <a:ln cap="flat">
          <a:noFill/>
        </a:ln>
      </xdr:spPr>
    </xdr:pic>
    <xdr:clientData/>
  </xdr:twoCellAnchor>
  <xdr:twoCellAnchor editAs="oneCell">
    <xdr:from>
      <xdr:col>0</xdr:col>
      <xdr:colOff>586740</xdr:colOff>
      <xdr:row>0</xdr:row>
      <xdr:rowOff>144780</xdr:rowOff>
    </xdr:from>
    <xdr:to>
      <xdr:col>3</xdr:col>
      <xdr:colOff>250111</xdr:colOff>
      <xdr:row>3</xdr:row>
      <xdr:rowOff>37</xdr:rowOff>
    </xdr:to>
    <xdr:pic>
      <xdr:nvPicPr>
        <xdr:cNvPr id="4" name="Imagen 3">
          <a:hlinkClick xmlns:r="http://schemas.openxmlformats.org/officeDocument/2006/relationships" r:id="rId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4"/>
        <a:stretch>
          <a:fillRect/>
        </a:stretch>
      </xdr:blipFill>
      <xdr:spPr>
        <a:xfrm>
          <a:off x="586740" y="144780"/>
          <a:ext cx="2017951" cy="426757"/>
        </a:xfrm>
        <a:prstGeom prst="rect">
          <a:avLst/>
        </a:prstGeom>
        <a:solidFill>
          <a:srgbClr val="00B0F0"/>
        </a:solidFill>
      </xdr:spPr>
    </xdr:pic>
    <xdr:clientData/>
  </xdr:twoCellAnchor>
  <xdr:twoCellAnchor>
    <xdr:from>
      <xdr:col>0</xdr:col>
      <xdr:colOff>609600</xdr:colOff>
      <xdr:row>3</xdr:row>
      <xdr:rowOff>83820</xdr:rowOff>
    </xdr:from>
    <xdr:to>
      <xdr:col>3</xdr:col>
      <xdr:colOff>197129</xdr:colOff>
      <xdr:row>5</xdr:row>
      <xdr:rowOff>106230</xdr:rowOff>
    </xdr:to>
    <xdr:sp macro="" textlink="">
      <xdr:nvSpPr>
        <xdr:cNvPr id="21" name="Rectángulo redondeado 20">
          <a:hlinkClick xmlns:r="http://schemas.openxmlformats.org/officeDocument/2006/relationships" r:id="rId5"/>
          <a:extLst>
            <a:ext uri="{FF2B5EF4-FFF2-40B4-BE49-F238E27FC236}">
              <a16:creationId xmlns:a16="http://schemas.microsoft.com/office/drawing/2014/main" id="{00000000-0008-0000-0A00-000015000000}"/>
            </a:ext>
          </a:extLst>
        </xdr:cNvPr>
        <xdr:cNvSpPr/>
      </xdr:nvSpPr>
      <xdr:spPr>
        <a:xfrm>
          <a:off x="609600" y="65532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571500</xdr:colOff>
      <xdr:row>0</xdr:row>
      <xdr:rowOff>0</xdr:rowOff>
    </xdr:from>
    <xdr:to>
      <xdr:col>0</xdr:col>
      <xdr:colOff>2961890</xdr:colOff>
      <xdr:row>5</xdr:row>
      <xdr:rowOff>33791</xdr:rowOff>
    </xdr:to>
    <xdr:pic>
      <xdr:nvPicPr>
        <xdr:cNvPr id="2" name="Picture 8" descr="La Salle New">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rcRect/>
        <a:stretch>
          <a:fillRect/>
        </a:stretch>
      </xdr:blipFill>
      <xdr:spPr>
        <a:xfrm>
          <a:off x="571500" y="0"/>
          <a:ext cx="2390390" cy="986291"/>
        </a:xfrm>
        <a:prstGeom prst="rect">
          <a:avLst/>
        </a:prstGeom>
        <a:noFill/>
        <a:ln cap="flat">
          <a:noFill/>
        </a:ln>
      </xdr:spPr>
    </xdr:pic>
    <xdr:clientData/>
  </xdr:twoCellAnchor>
  <xdr:twoCellAnchor>
    <xdr:from>
      <xdr:col>8</xdr:col>
      <xdr:colOff>492578</xdr:colOff>
      <xdr:row>7</xdr:row>
      <xdr:rowOff>55789</xdr:rowOff>
    </xdr:from>
    <xdr:to>
      <xdr:col>12</xdr:col>
      <xdr:colOff>685800</xdr:colOff>
      <xdr:row>15</xdr:row>
      <xdr:rowOff>171450</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14218103" y="1475014"/>
          <a:ext cx="3241222" cy="1639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amarillas son modificables en esta</a:t>
          </a:r>
          <a:r>
            <a:rPr lang="es-CO" sz="2400" b="1" baseline="0"/>
            <a:t> página.</a:t>
          </a:r>
          <a:endParaRPr lang="es-CO" sz="2400" b="1"/>
        </a:p>
      </xdr:txBody>
    </xdr:sp>
    <xdr:clientData/>
  </xdr:twoCellAnchor>
  <xdr:twoCellAnchor>
    <xdr:from>
      <xdr:col>0</xdr:col>
      <xdr:colOff>3558540</xdr:colOff>
      <xdr:row>1</xdr:row>
      <xdr:rowOff>160020</xdr:rowOff>
    </xdr:from>
    <xdr:to>
      <xdr:col>2</xdr:col>
      <xdr:colOff>569595</xdr:colOff>
      <xdr:row>4</xdr:row>
      <xdr:rowOff>49530</xdr:rowOff>
    </xdr:to>
    <xdr:sp macro="" textlink="">
      <xdr:nvSpPr>
        <xdr:cNvPr id="6" name="Rectángulo redondeado 5">
          <a:hlinkClick xmlns:r="http://schemas.openxmlformats.org/officeDocument/2006/relationships" r:id="rId2"/>
          <a:extLst>
            <a:ext uri="{FF2B5EF4-FFF2-40B4-BE49-F238E27FC236}">
              <a16:creationId xmlns:a16="http://schemas.microsoft.com/office/drawing/2014/main" id="{00000000-0008-0000-0B00-000006000000}"/>
            </a:ext>
          </a:extLst>
        </xdr:cNvPr>
        <xdr:cNvSpPr/>
      </xdr:nvSpPr>
      <xdr:spPr>
        <a:xfrm>
          <a:off x="3558540" y="335280"/>
          <a:ext cx="2009775" cy="415290"/>
        </a:xfrm>
        <a:prstGeom prst="roundRect">
          <a:avLst/>
        </a:prstGeom>
        <a:solidFill>
          <a:srgbClr val="00B0F0"/>
        </a:solidFill>
        <a:ln w="12700" cap="flat" cmpd="sng" algn="ctr">
          <a:solidFill>
            <a:srgbClr val="E48312"/>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1800" b="1" i="0" u="none" strike="noStrike" kern="0" cap="none" spc="0" normalizeH="0" baseline="0" noProof="0">
              <a:ln>
                <a:noFill/>
              </a:ln>
              <a:solidFill>
                <a:sysClr val="windowText" lastClr="000000"/>
              </a:solidFill>
              <a:effectLst/>
              <a:uLnTx/>
              <a:uFillTx/>
              <a:latin typeface="Calibri" panose="020F0502020204030204"/>
              <a:ea typeface="+mn-ea"/>
              <a:cs typeface="+mn-cs"/>
            </a:rPr>
            <a:t>INICIO </a:t>
          </a:r>
        </a:p>
      </xdr:txBody>
    </xdr:sp>
    <xdr:clientData/>
  </xdr:twoCellAnchor>
  <xdr:twoCellAnchor>
    <xdr:from>
      <xdr:col>2</xdr:col>
      <xdr:colOff>838200</xdr:colOff>
      <xdr:row>2</xdr:row>
      <xdr:rowOff>0</xdr:rowOff>
    </xdr:from>
    <xdr:to>
      <xdr:col>3</xdr:col>
      <xdr:colOff>1042949</xdr:colOff>
      <xdr:row>4</xdr:row>
      <xdr:rowOff>68130</xdr:rowOff>
    </xdr:to>
    <xdr:sp macro="" textlink="">
      <xdr:nvSpPr>
        <xdr:cNvPr id="5" name="Rectángulo redondeado 4">
          <a:hlinkClick xmlns:r="http://schemas.openxmlformats.org/officeDocument/2006/relationships" r:id="rId3"/>
          <a:extLst>
            <a:ext uri="{FF2B5EF4-FFF2-40B4-BE49-F238E27FC236}">
              <a16:creationId xmlns:a16="http://schemas.microsoft.com/office/drawing/2014/main" id="{00000000-0008-0000-0B00-000005000000}"/>
            </a:ext>
          </a:extLst>
        </xdr:cNvPr>
        <xdr:cNvSpPr/>
      </xdr:nvSpPr>
      <xdr:spPr>
        <a:xfrm>
          <a:off x="5836920" y="35052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23</xdr:row>
      <xdr:rowOff>167639</xdr:rowOff>
    </xdr:to>
    <xdr:pic>
      <xdr:nvPicPr>
        <xdr:cNvPr id="2" name="Imagen 1" descr="Planifica el futuro financiero con un simulador | ahorrame">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40005</xdr:colOff>
      <xdr:row>0</xdr:row>
      <xdr:rowOff>0</xdr:rowOff>
    </xdr:from>
    <xdr:to>
      <xdr:col>9</xdr:col>
      <xdr:colOff>304415</xdr:colOff>
      <xdr:row>5</xdr:row>
      <xdr:rowOff>88608</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8545830" y="0"/>
          <a:ext cx="3179060" cy="1336383"/>
        </a:xfrm>
        <a:prstGeom prst="rect">
          <a:avLst/>
        </a:prstGeom>
        <a:noFill/>
        <a:ln cap="flat">
          <a:noFill/>
        </a:ln>
      </xdr:spPr>
    </xdr:pic>
    <xdr:clientData/>
  </xdr:twoCellAnchor>
  <xdr:twoCellAnchor>
    <xdr:from>
      <xdr:col>7</xdr:col>
      <xdr:colOff>942975</xdr:colOff>
      <xdr:row>15</xdr:row>
      <xdr:rowOff>120014</xdr:rowOff>
    </xdr:from>
    <xdr:to>
      <xdr:col>9</xdr:col>
      <xdr:colOff>609873</xdr:colOff>
      <xdr:row>30</xdr:row>
      <xdr:rowOff>76199</xdr:rowOff>
    </xdr:to>
    <xdr:sp macro="" textlink="">
      <xdr:nvSpPr>
        <xdr:cNvPr id="4" name="CuadroTexto 3">
          <a:extLst>
            <a:ext uri="{FF2B5EF4-FFF2-40B4-BE49-F238E27FC236}">
              <a16:creationId xmlns:a16="http://schemas.microsoft.com/office/drawing/2014/main" id="{00000000-0008-0000-0C00-000004000000}"/>
            </a:ext>
          </a:extLst>
        </xdr:cNvPr>
        <xdr:cNvSpPr txBox="1"/>
      </xdr:nvSpPr>
      <xdr:spPr>
        <a:xfrm>
          <a:off x="9448800" y="3072764"/>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twoCellAnchor>
    <xdr:from>
      <xdr:col>7</xdr:col>
      <xdr:colOff>502920</xdr:colOff>
      <xdr:row>4</xdr:row>
      <xdr:rowOff>167640</xdr:rowOff>
    </xdr:from>
    <xdr:to>
      <xdr:col>8</xdr:col>
      <xdr:colOff>295275</xdr:colOff>
      <xdr:row>7</xdr:row>
      <xdr:rowOff>57150</xdr:rowOff>
    </xdr:to>
    <xdr:sp macro="" textlink="">
      <xdr:nvSpPr>
        <xdr:cNvPr id="6" name="Rectángulo redondeado 5">
          <a:hlinkClick xmlns:r="http://schemas.openxmlformats.org/officeDocument/2006/relationships" r:id="rId3"/>
          <a:extLst>
            <a:ext uri="{FF2B5EF4-FFF2-40B4-BE49-F238E27FC236}">
              <a16:creationId xmlns:a16="http://schemas.microsoft.com/office/drawing/2014/main" id="{00000000-0008-0000-0C00-000006000000}"/>
            </a:ext>
          </a:extLst>
        </xdr:cNvPr>
        <xdr:cNvSpPr/>
      </xdr:nvSpPr>
      <xdr:spPr>
        <a:xfrm>
          <a:off x="9258300" y="1143000"/>
          <a:ext cx="2009775" cy="415290"/>
        </a:xfrm>
        <a:prstGeom prst="roundRect">
          <a:avLst/>
        </a:prstGeom>
        <a:solidFill>
          <a:srgbClr val="00B0F0"/>
        </a:solidFill>
        <a:ln w="12700" cap="flat" cmpd="sng" algn="ctr">
          <a:solidFill>
            <a:srgbClr val="E48312"/>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1800" b="1" i="0" u="none" strike="noStrike" kern="0" cap="none" spc="0" normalizeH="0" baseline="0" noProof="0">
              <a:ln>
                <a:noFill/>
              </a:ln>
              <a:solidFill>
                <a:sysClr val="windowText" lastClr="000000"/>
              </a:solidFill>
              <a:effectLst/>
              <a:uLnTx/>
              <a:uFillTx/>
              <a:latin typeface="Calibri" panose="020F0502020204030204"/>
              <a:ea typeface="+mn-ea"/>
              <a:cs typeface="+mn-cs"/>
            </a:rPr>
            <a:t>INICIO </a:t>
          </a:r>
        </a:p>
      </xdr:txBody>
    </xdr:sp>
    <xdr:clientData/>
  </xdr:twoCellAnchor>
  <xdr:twoCellAnchor>
    <xdr:from>
      <xdr:col>8</xdr:col>
      <xdr:colOff>434340</xdr:colOff>
      <xdr:row>4</xdr:row>
      <xdr:rowOff>167640</xdr:rowOff>
    </xdr:from>
    <xdr:to>
      <xdr:col>11</xdr:col>
      <xdr:colOff>21869</xdr:colOff>
      <xdr:row>7</xdr:row>
      <xdr:rowOff>60510</xdr:rowOff>
    </xdr:to>
    <xdr:sp macro="" textlink="">
      <xdr:nvSpPr>
        <xdr:cNvPr id="7" name="Rectángulo redondeado 6">
          <a:hlinkClick xmlns:r="http://schemas.openxmlformats.org/officeDocument/2006/relationships" r:id="rId4"/>
          <a:extLst>
            <a:ext uri="{FF2B5EF4-FFF2-40B4-BE49-F238E27FC236}">
              <a16:creationId xmlns:a16="http://schemas.microsoft.com/office/drawing/2014/main" id="{00000000-0008-0000-0C00-000007000000}"/>
            </a:ext>
          </a:extLst>
        </xdr:cNvPr>
        <xdr:cNvSpPr/>
      </xdr:nvSpPr>
      <xdr:spPr>
        <a:xfrm>
          <a:off x="11407140" y="114300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68580</xdr:rowOff>
    </xdr:to>
    <xdr:pic>
      <xdr:nvPicPr>
        <xdr:cNvPr id="2" name="Imagen 1" descr="Qué es el periodo de gracia de un crédito? - Rankia">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344170</xdr:colOff>
      <xdr:row>0</xdr:row>
      <xdr:rowOff>91440</xdr:rowOff>
    </xdr:from>
    <xdr:to>
      <xdr:col>10</xdr:col>
      <xdr:colOff>459991</xdr:colOff>
      <xdr:row>6</xdr:row>
      <xdr:rowOff>218148</xdr:rowOff>
    </xdr:to>
    <xdr:pic>
      <xdr:nvPicPr>
        <xdr:cNvPr id="3" name="Picture 8" descr="La Salle New">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rcRect/>
        <a:stretch>
          <a:fillRect/>
        </a:stretch>
      </xdr:blipFill>
      <xdr:spPr>
        <a:xfrm>
          <a:off x="11612245" y="91440"/>
          <a:ext cx="3163821" cy="1336383"/>
        </a:xfrm>
        <a:prstGeom prst="rect">
          <a:avLst/>
        </a:prstGeom>
        <a:noFill/>
        <a:ln cap="flat">
          <a:noFill/>
        </a:ln>
      </xdr:spPr>
    </xdr:pic>
    <xdr:clientData/>
  </xdr:twoCellAnchor>
  <xdr:twoCellAnchor>
    <xdr:from>
      <xdr:col>7</xdr:col>
      <xdr:colOff>0</xdr:colOff>
      <xdr:row>22</xdr:row>
      <xdr:rowOff>0</xdr:rowOff>
    </xdr:from>
    <xdr:to>
      <xdr:col>10</xdr:col>
      <xdr:colOff>295548</xdr:colOff>
      <xdr:row>30</xdr:row>
      <xdr:rowOff>146685</xdr:rowOff>
    </xdr:to>
    <xdr:sp macro="" textlink="">
      <xdr:nvSpPr>
        <xdr:cNvPr id="5" name="CuadroTexto 4">
          <a:extLst>
            <a:ext uri="{FF2B5EF4-FFF2-40B4-BE49-F238E27FC236}">
              <a16:creationId xmlns:a16="http://schemas.microsoft.com/office/drawing/2014/main" id="{00000000-0008-0000-0D00-000005000000}"/>
            </a:ext>
          </a:extLst>
        </xdr:cNvPr>
        <xdr:cNvSpPr txBox="1"/>
      </xdr:nvSpPr>
      <xdr:spPr>
        <a:xfrm>
          <a:off x="12030075" y="4410075"/>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twoCellAnchor>
    <xdr:from>
      <xdr:col>0</xdr:col>
      <xdr:colOff>807720</xdr:colOff>
      <xdr:row>0</xdr:row>
      <xdr:rowOff>121920</xdr:rowOff>
    </xdr:from>
    <xdr:to>
      <xdr:col>0</xdr:col>
      <xdr:colOff>2817495</xdr:colOff>
      <xdr:row>3</xdr:row>
      <xdr:rowOff>11430</xdr:rowOff>
    </xdr:to>
    <xdr:sp macro="" textlink="">
      <xdr:nvSpPr>
        <xdr:cNvPr id="6" name="Rectángulo redondeado 5">
          <a:hlinkClick xmlns:r="http://schemas.openxmlformats.org/officeDocument/2006/relationships" r:id="rId3"/>
          <a:extLst>
            <a:ext uri="{FF2B5EF4-FFF2-40B4-BE49-F238E27FC236}">
              <a16:creationId xmlns:a16="http://schemas.microsoft.com/office/drawing/2014/main" id="{00000000-0008-0000-0D00-000006000000}"/>
            </a:ext>
          </a:extLst>
        </xdr:cNvPr>
        <xdr:cNvSpPr/>
      </xdr:nvSpPr>
      <xdr:spPr>
        <a:xfrm>
          <a:off x="807720" y="121920"/>
          <a:ext cx="2009775" cy="415290"/>
        </a:xfrm>
        <a:prstGeom prst="roundRect">
          <a:avLst/>
        </a:prstGeom>
        <a:solidFill>
          <a:srgbClr val="92D050"/>
        </a:solidFill>
        <a:ln w="12700" cap="flat" cmpd="sng" algn="ctr">
          <a:solidFill>
            <a:srgbClr val="E48312"/>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1800" b="1" i="0" u="none" strike="noStrike" kern="0" cap="none" spc="0" normalizeH="0" baseline="0" noProof="0">
              <a:ln>
                <a:noFill/>
              </a:ln>
              <a:solidFill>
                <a:sysClr val="windowText" lastClr="000000"/>
              </a:solidFill>
              <a:effectLst/>
              <a:uLnTx/>
              <a:uFillTx/>
              <a:latin typeface="Calibri" panose="020F0502020204030204"/>
              <a:ea typeface="+mn-ea"/>
              <a:cs typeface="+mn-cs"/>
            </a:rPr>
            <a:t>INICIO </a:t>
          </a:r>
        </a:p>
      </xdr:txBody>
    </xdr:sp>
    <xdr:clientData/>
  </xdr:twoCellAnchor>
  <xdr:twoCellAnchor>
    <xdr:from>
      <xdr:col>0</xdr:col>
      <xdr:colOff>3238500</xdr:colOff>
      <xdr:row>0</xdr:row>
      <xdr:rowOff>152400</xdr:rowOff>
    </xdr:from>
    <xdr:to>
      <xdr:col>1</xdr:col>
      <xdr:colOff>517169</xdr:colOff>
      <xdr:row>3</xdr:row>
      <xdr:rowOff>45270</xdr:rowOff>
    </xdr:to>
    <xdr:sp macro="" textlink="">
      <xdr:nvSpPr>
        <xdr:cNvPr id="7" name="Rectángulo redondeado 6">
          <a:hlinkClick xmlns:r="http://schemas.openxmlformats.org/officeDocument/2006/relationships" r:id="rId4"/>
          <a:extLst>
            <a:ext uri="{FF2B5EF4-FFF2-40B4-BE49-F238E27FC236}">
              <a16:creationId xmlns:a16="http://schemas.microsoft.com/office/drawing/2014/main" id="{00000000-0008-0000-0D00-000007000000}"/>
            </a:ext>
          </a:extLst>
        </xdr:cNvPr>
        <xdr:cNvSpPr/>
      </xdr:nvSpPr>
      <xdr:spPr>
        <a:xfrm>
          <a:off x="3238500" y="15240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419100</xdr:colOff>
      <xdr:row>51</xdr:row>
      <xdr:rowOff>186267</xdr:rowOff>
    </xdr:from>
    <xdr:to>
      <xdr:col>4</xdr:col>
      <xdr:colOff>349250</xdr:colOff>
      <xdr:row>73</xdr:row>
      <xdr:rowOff>65617</xdr:rowOff>
    </xdr:to>
    <xdr:graphicFrame macro="">
      <xdr:nvGraphicFramePr>
        <xdr:cNvPr id="2" name="Gráfico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613833</xdr:colOff>
      <xdr:row>0</xdr:row>
      <xdr:rowOff>0</xdr:rowOff>
    </xdr:from>
    <xdr:to>
      <xdr:col>1</xdr:col>
      <xdr:colOff>1218293</xdr:colOff>
      <xdr:row>7</xdr:row>
      <xdr:rowOff>94459</xdr:rowOff>
    </xdr:to>
    <xdr:pic>
      <xdr:nvPicPr>
        <xdr:cNvPr id="8" name="Picture 8" descr="La Salle New">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7"/>
        <a:srcRect/>
        <a:stretch>
          <a:fillRect/>
        </a:stretch>
      </xdr:blipFill>
      <xdr:spPr>
        <a:xfrm>
          <a:off x="613833" y="0"/>
          <a:ext cx="3409043" cy="1427959"/>
        </a:xfrm>
        <a:prstGeom prst="rect">
          <a:avLst/>
        </a:prstGeom>
        <a:noFill/>
        <a:ln cap="flat">
          <a:noFill/>
        </a:ln>
      </xdr:spPr>
    </xdr:pic>
    <xdr:clientData/>
  </xdr:twoCellAnchor>
  <xdr:twoCellAnchor>
    <xdr:from>
      <xdr:col>2</xdr:col>
      <xdr:colOff>228600</xdr:colOff>
      <xdr:row>3</xdr:row>
      <xdr:rowOff>38100</xdr:rowOff>
    </xdr:from>
    <xdr:to>
      <xdr:col>3</xdr:col>
      <xdr:colOff>423840</xdr:colOff>
      <xdr:row>5</xdr:row>
      <xdr:rowOff>102870</xdr:rowOff>
    </xdr:to>
    <xdr:sp macro="" textlink="">
      <xdr:nvSpPr>
        <xdr:cNvPr id="12" name="Rectángulo redondeado 11">
          <a:hlinkClick xmlns:r="http://schemas.openxmlformats.org/officeDocument/2006/relationships" r:id="rId8"/>
          <a:extLst>
            <a:ext uri="{FF2B5EF4-FFF2-40B4-BE49-F238E27FC236}">
              <a16:creationId xmlns:a16="http://schemas.microsoft.com/office/drawing/2014/main" id="{00000000-0008-0000-0E00-00000C000000}"/>
            </a:ext>
          </a:extLst>
        </xdr:cNvPr>
        <xdr:cNvSpPr/>
      </xdr:nvSpPr>
      <xdr:spPr>
        <a:xfrm>
          <a:off x="4411980" y="563880"/>
          <a:ext cx="2008800" cy="415290"/>
        </a:xfrm>
        <a:prstGeom prst="roundRect">
          <a:avLst/>
        </a:prstGeom>
        <a:solidFill>
          <a:srgbClr val="00B0F0"/>
        </a:solidFill>
        <a:ln w="12700" cap="flat" cmpd="sng" algn="ctr">
          <a:solidFill>
            <a:srgbClr val="E48312"/>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1800" b="1" i="0" u="none" strike="noStrike" kern="0" cap="none" spc="0" normalizeH="0" baseline="0" noProof="0">
              <a:ln>
                <a:noFill/>
              </a:ln>
              <a:solidFill>
                <a:sysClr val="windowText" lastClr="000000"/>
              </a:solidFill>
              <a:effectLst/>
              <a:uLnTx/>
              <a:uFillTx/>
              <a:latin typeface="Calibri" panose="020F0502020204030204"/>
              <a:ea typeface="+mn-ea"/>
              <a:cs typeface="+mn-cs"/>
            </a:rPr>
            <a:t>INICIO </a:t>
          </a:r>
        </a:p>
      </xdr:txBody>
    </xdr:sp>
    <xdr:clientData/>
  </xdr:twoCellAnchor>
  <xdr:twoCellAnchor>
    <xdr:from>
      <xdr:col>3</xdr:col>
      <xdr:colOff>701040</xdr:colOff>
      <xdr:row>3</xdr:row>
      <xdr:rowOff>45720</xdr:rowOff>
    </xdr:from>
    <xdr:to>
      <xdr:col>4</xdr:col>
      <xdr:colOff>1263929</xdr:colOff>
      <xdr:row>5</xdr:row>
      <xdr:rowOff>113850</xdr:rowOff>
    </xdr:to>
    <xdr:sp macro="" textlink="">
      <xdr:nvSpPr>
        <xdr:cNvPr id="10" name="Rectángulo redondeado 9">
          <a:hlinkClick xmlns:r="http://schemas.openxmlformats.org/officeDocument/2006/relationships" r:id="rId9"/>
          <a:extLst>
            <a:ext uri="{FF2B5EF4-FFF2-40B4-BE49-F238E27FC236}">
              <a16:creationId xmlns:a16="http://schemas.microsoft.com/office/drawing/2014/main" id="{00000000-0008-0000-0E00-00000A000000}"/>
            </a:ext>
          </a:extLst>
        </xdr:cNvPr>
        <xdr:cNvSpPr/>
      </xdr:nvSpPr>
      <xdr:spPr>
        <a:xfrm>
          <a:off x="6697980" y="57150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304800</xdr:colOff>
      <xdr:row>3</xdr:row>
      <xdr:rowOff>0</xdr:rowOff>
    </xdr:from>
    <xdr:to>
      <xdr:col>10</xdr:col>
      <xdr:colOff>561975</xdr:colOff>
      <xdr:row>6</xdr:row>
      <xdr:rowOff>104774</xdr:rowOff>
    </xdr:to>
    <xdr:sp macro="" textlink="">
      <xdr:nvSpPr>
        <xdr:cNvPr id="4" name="CuadroTexto 3">
          <a:extLst>
            <a:ext uri="{FF2B5EF4-FFF2-40B4-BE49-F238E27FC236}">
              <a16:creationId xmlns:a16="http://schemas.microsoft.com/office/drawing/2014/main" id="{00000000-0008-0000-0F00-000004000000}"/>
            </a:ext>
          </a:extLst>
        </xdr:cNvPr>
        <xdr:cNvSpPr txBox="1"/>
      </xdr:nvSpPr>
      <xdr:spPr>
        <a:xfrm>
          <a:off x="5667375" y="752475"/>
          <a:ext cx="5591175" cy="91439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2000" b="1">
              <a:latin typeface="Times New Roman" panose="02020603050405020304" pitchFamily="18" charset="0"/>
              <a:cs typeface="Times New Roman" panose="02020603050405020304" pitchFamily="18" charset="0"/>
            </a:rPr>
            <a:t>TENER EN CUENTA</a:t>
          </a:r>
          <a:r>
            <a:rPr lang="es-CO" sz="2000">
              <a:latin typeface="Times New Roman" panose="02020603050405020304" pitchFamily="18" charset="0"/>
              <a:cs typeface="Times New Roman" panose="02020603050405020304" pitchFamily="18" charset="0"/>
            </a:rPr>
            <a:t> que la</a:t>
          </a:r>
          <a:r>
            <a:rPr lang="es-CO" sz="2000" baseline="0">
              <a:latin typeface="Times New Roman" panose="02020603050405020304" pitchFamily="18" charset="0"/>
              <a:cs typeface="Times New Roman" panose="02020603050405020304" pitchFamily="18" charset="0"/>
            </a:rPr>
            <a:t> hoja no está protegida así que no realizar ningún cambio si no se indica.</a:t>
          </a:r>
        </a:p>
      </xdr:txBody>
    </xdr:sp>
    <xdr:clientData/>
  </xdr:twoCellAnchor>
  <xdr:twoCellAnchor>
    <xdr:from>
      <xdr:col>8</xdr:col>
      <xdr:colOff>609600</xdr:colOff>
      <xdr:row>8</xdr:row>
      <xdr:rowOff>38100</xdr:rowOff>
    </xdr:from>
    <xdr:to>
      <xdr:col>11</xdr:col>
      <xdr:colOff>1564482</xdr:colOff>
      <xdr:row>15</xdr:row>
      <xdr:rowOff>19050</xdr:rowOff>
    </xdr:to>
    <xdr:sp macro="" textlink="">
      <xdr:nvSpPr>
        <xdr:cNvPr id="5" name="CuadroTexto 4">
          <a:extLst>
            <a:ext uri="{FF2B5EF4-FFF2-40B4-BE49-F238E27FC236}">
              <a16:creationId xmlns:a16="http://schemas.microsoft.com/office/drawing/2014/main" id="{00000000-0008-0000-0F00-000005000000}"/>
            </a:ext>
          </a:extLst>
        </xdr:cNvPr>
        <xdr:cNvSpPr txBox="1"/>
      </xdr:nvSpPr>
      <xdr:spPr>
        <a:xfrm>
          <a:off x="9782175" y="2019300"/>
          <a:ext cx="4174332"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O8 hasta Z16.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209550</xdr:colOff>
      <xdr:row>11</xdr:row>
      <xdr:rowOff>85725</xdr:rowOff>
    </xdr:from>
    <xdr:to>
      <xdr:col>12</xdr:col>
      <xdr:colOff>504825</xdr:colOff>
      <xdr:row>11</xdr:row>
      <xdr:rowOff>85725</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14249400" y="286702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628650</xdr:colOff>
      <xdr:row>21</xdr:row>
      <xdr:rowOff>171450</xdr:rowOff>
    </xdr:from>
    <xdr:to>
      <xdr:col>11</xdr:col>
      <xdr:colOff>1578769</xdr:colOff>
      <xdr:row>35</xdr:row>
      <xdr:rowOff>133350</xdr:rowOff>
    </xdr:to>
    <xdr:sp macro="" textlink="">
      <xdr:nvSpPr>
        <xdr:cNvPr id="7" name="CuadroTexto 6">
          <a:extLst>
            <a:ext uri="{FF2B5EF4-FFF2-40B4-BE49-F238E27FC236}">
              <a16:creationId xmlns:a16="http://schemas.microsoft.com/office/drawing/2014/main" id="{00000000-0008-0000-0F00-000007000000}"/>
            </a:ext>
          </a:extLst>
        </xdr:cNvPr>
        <xdr:cNvSpPr txBox="1"/>
      </xdr:nvSpPr>
      <xdr:spPr>
        <a:xfrm>
          <a:off x="9801225" y="4619625"/>
          <a:ext cx="4169569"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O22 hasta Z36.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247650</xdr:colOff>
      <xdr:row>25</xdr:row>
      <xdr:rowOff>123825</xdr:rowOff>
    </xdr:from>
    <xdr:to>
      <xdr:col>12</xdr:col>
      <xdr:colOff>542925</xdr:colOff>
      <xdr:row>25</xdr:row>
      <xdr:rowOff>123825</xdr:rowOff>
    </xdr:to>
    <xdr:cxnSp macro="">
      <xdr:nvCxnSpPr>
        <xdr:cNvPr id="8" name="Conector recto de flecha 7">
          <a:extLst>
            <a:ext uri="{FF2B5EF4-FFF2-40B4-BE49-F238E27FC236}">
              <a16:creationId xmlns:a16="http://schemas.microsoft.com/office/drawing/2014/main" id="{00000000-0008-0000-0F00-000008000000}"/>
            </a:ext>
          </a:extLst>
        </xdr:cNvPr>
        <xdr:cNvCxnSpPr/>
      </xdr:nvCxnSpPr>
      <xdr:spPr>
        <a:xfrm>
          <a:off x="14287500" y="5372100"/>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552450</xdr:colOff>
      <xdr:row>41</xdr:row>
      <xdr:rowOff>171450</xdr:rowOff>
    </xdr:from>
    <xdr:to>
      <xdr:col>12</xdr:col>
      <xdr:colOff>57150</xdr:colOff>
      <xdr:row>49</xdr:row>
      <xdr:rowOff>123825</xdr:rowOff>
    </xdr:to>
    <xdr:sp macro="" textlink="">
      <xdr:nvSpPr>
        <xdr:cNvPr id="9" name="CuadroTexto 8">
          <a:extLst>
            <a:ext uri="{FF2B5EF4-FFF2-40B4-BE49-F238E27FC236}">
              <a16:creationId xmlns:a16="http://schemas.microsoft.com/office/drawing/2014/main" id="{00000000-0008-0000-0F00-000009000000}"/>
            </a:ext>
          </a:extLst>
        </xdr:cNvPr>
        <xdr:cNvSpPr txBox="1"/>
      </xdr:nvSpPr>
      <xdr:spPr>
        <a:xfrm>
          <a:off x="9725025" y="7629525"/>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O42 hasta Z50.</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45</xdr:row>
      <xdr:rowOff>133350</xdr:rowOff>
    </xdr:from>
    <xdr:to>
      <xdr:col>12</xdr:col>
      <xdr:colOff>619125</xdr:colOff>
      <xdr:row>45</xdr:row>
      <xdr:rowOff>133350</xdr:rowOff>
    </xdr:to>
    <xdr:cxnSp macro="">
      <xdr:nvCxnSpPr>
        <xdr:cNvPr id="10" name="Conector recto de flecha 9">
          <a:extLst>
            <a:ext uri="{FF2B5EF4-FFF2-40B4-BE49-F238E27FC236}">
              <a16:creationId xmlns:a16="http://schemas.microsoft.com/office/drawing/2014/main" id="{00000000-0008-0000-0F00-00000A000000}"/>
            </a:ext>
          </a:extLst>
        </xdr:cNvPr>
        <xdr:cNvCxnSpPr/>
      </xdr:nvCxnSpPr>
      <xdr:spPr>
        <a:xfrm>
          <a:off x="14363700" y="839152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561975</xdr:colOff>
      <xdr:row>55</xdr:row>
      <xdr:rowOff>0</xdr:rowOff>
    </xdr:from>
    <xdr:to>
      <xdr:col>12</xdr:col>
      <xdr:colOff>66675</xdr:colOff>
      <xdr:row>62</xdr:row>
      <xdr:rowOff>161925</xdr:rowOff>
    </xdr:to>
    <xdr:sp macro="" textlink="">
      <xdr:nvSpPr>
        <xdr:cNvPr id="11" name="CuadroTexto 10">
          <a:extLst>
            <a:ext uri="{FF2B5EF4-FFF2-40B4-BE49-F238E27FC236}">
              <a16:creationId xmlns:a16="http://schemas.microsoft.com/office/drawing/2014/main" id="{00000000-0008-0000-0F00-00000B000000}"/>
            </a:ext>
          </a:extLst>
        </xdr:cNvPr>
        <xdr:cNvSpPr txBox="1"/>
      </xdr:nvSpPr>
      <xdr:spPr>
        <a:xfrm>
          <a:off x="9734550" y="10267950"/>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O55 hasta Z63.</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59</xdr:row>
      <xdr:rowOff>114300</xdr:rowOff>
    </xdr:from>
    <xdr:to>
      <xdr:col>12</xdr:col>
      <xdr:colOff>628650</xdr:colOff>
      <xdr:row>59</xdr:row>
      <xdr:rowOff>114300</xdr:rowOff>
    </xdr:to>
    <xdr:cxnSp macro="">
      <xdr:nvCxnSpPr>
        <xdr:cNvPr id="12" name="Conector recto de flecha 11">
          <a:extLst>
            <a:ext uri="{FF2B5EF4-FFF2-40B4-BE49-F238E27FC236}">
              <a16:creationId xmlns:a16="http://schemas.microsoft.com/office/drawing/2014/main" id="{00000000-0008-0000-0F00-00000C000000}"/>
            </a:ext>
          </a:extLst>
        </xdr:cNvPr>
        <xdr:cNvCxnSpPr/>
      </xdr:nvCxnSpPr>
      <xdr:spPr>
        <a:xfrm>
          <a:off x="14373225" y="11182350"/>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619125</xdr:colOff>
      <xdr:row>67</xdr:row>
      <xdr:rowOff>180975</xdr:rowOff>
    </xdr:from>
    <xdr:to>
      <xdr:col>12</xdr:col>
      <xdr:colOff>123825</xdr:colOff>
      <xdr:row>75</xdr:row>
      <xdr:rowOff>142875</xdr:rowOff>
    </xdr:to>
    <xdr:sp macro="" textlink="">
      <xdr:nvSpPr>
        <xdr:cNvPr id="13" name="CuadroTexto 12">
          <a:extLst>
            <a:ext uri="{FF2B5EF4-FFF2-40B4-BE49-F238E27FC236}">
              <a16:creationId xmlns:a16="http://schemas.microsoft.com/office/drawing/2014/main" id="{00000000-0008-0000-0F00-00000D000000}"/>
            </a:ext>
          </a:extLst>
        </xdr:cNvPr>
        <xdr:cNvSpPr txBox="1"/>
      </xdr:nvSpPr>
      <xdr:spPr>
        <a:xfrm>
          <a:off x="9791700" y="12858750"/>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 es decir, desde la celda O67 hasta Z75.</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C4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72</xdr:row>
      <xdr:rowOff>28575</xdr:rowOff>
    </xdr:from>
    <xdr:to>
      <xdr:col>12</xdr:col>
      <xdr:colOff>638175</xdr:colOff>
      <xdr:row>72</xdr:row>
      <xdr:rowOff>28575</xdr:rowOff>
    </xdr:to>
    <xdr:cxnSp macro="">
      <xdr:nvCxnSpPr>
        <xdr:cNvPr id="14" name="Conector recto de flecha 13">
          <a:extLst>
            <a:ext uri="{FF2B5EF4-FFF2-40B4-BE49-F238E27FC236}">
              <a16:creationId xmlns:a16="http://schemas.microsoft.com/office/drawing/2014/main" id="{00000000-0008-0000-0F00-00000E000000}"/>
            </a:ext>
          </a:extLst>
        </xdr:cNvPr>
        <xdr:cNvCxnSpPr/>
      </xdr:nvCxnSpPr>
      <xdr:spPr>
        <a:xfrm>
          <a:off x="14382750" y="1370647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342900</xdr:colOff>
      <xdr:row>6</xdr:row>
      <xdr:rowOff>114300</xdr:rowOff>
    </xdr:from>
    <xdr:to>
      <xdr:col>34</xdr:col>
      <xdr:colOff>295275</xdr:colOff>
      <xdr:row>8</xdr:row>
      <xdr:rowOff>323850</xdr:rowOff>
    </xdr:to>
    <xdr:sp macro="" textlink="">
      <xdr:nvSpPr>
        <xdr:cNvPr id="15" name="CuadroTexto 14">
          <a:extLst>
            <a:ext uri="{FF2B5EF4-FFF2-40B4-BE49-F238E27FC236}">
              <a16:creationId xmlns:a16="http://schemas.microsoft.com/office/drawing/2014/main" id="{00000000-0008-0000-0F00-00000F000000}"/>
            </a:ext>
          </a:extLst>
        </xdr:cNvPr>
        <xdr:cNvSpPr txBox="1"/>
      </xdr:nvSpPr>
      <xdr:spPr>
        <a:xfrm>
          <a:off x="30861000" y="156210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57150</xdr:colOff>
      <xdr:row>7</xdr:row>
      <xdr:rowOff>85725</xdr:rowOff>
    </xdr:from>
    <xdr:to>
      <xdr:col>26</xdr:col>
      <xdr:colOff>238125</xdr:colOff>
      <xdr:row>7</xdr:row>
      <xdr:rowOff>85725</xdr:rowOff>
    </xdr:to>
    <xdr:cxnSp macro="">
      <xdr:nvCxnSpPr>
        <xdr:cNvPr id="16" name="Conector recto de flecha 15">
          <a:extLst>
            <a:ext uri="{FF2B5EF4-FFF2-40B4-BE49-F238E27FC236}">
              <a16:creationId xmlns:a16="http://schemas.microsoft.com/office/drawing/2014/main" id="{00000000-0008-0000-0F00-000010000000}"/>
            </a:ext>
          </a:extLst>
        </xdr:cNvPr>
        <xdr:cNvCxnSpPr/>
      </xdr:nvCxnSpPr>
      <xdr:spPr>
        <a:xfrm flipH="1">
          <a:off x="30575250" y="173355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47625</xdr:colOff>
      <xdr:row>21</xdr:row>
      <xdr:rowOff>104775</xdr:rowOff>
    </xdr:from>
    <xdr:to>
      <xdr:col>26</xdr:col>
      <xdr:colOff>228600</xdr:colOff>
      <xdr:row>21</xdr:row>
      <xdr:rowOff>104775</xdr:rowOff>
    </xdr:to>
    <xdr:cxnSp macro="">
      <xdr:nvCxnSpPr>
        <xdr:cNvPr id="18" name="Conector recto de flecha 17">
          <a:extLst>
            <a:ext uri="{FF2B5EF4-FFF2-40B4-BE49-F238E27FC236}">
              <a16:creationId xmlns:a16="http://schemas.microsoft.com/office/drawing/2014/main" id="{00000000-0008-0000-0F00-000012000000}"/>
            </a:ext>
          </a:extLst>
        </xdr:cNvPr>
        <xdr:cNvCxnSpPr/>
      </xdr:nvCxnSpPr>
      <xdr:spPr>
        <a:xfrm flipH="1">
          <a:off x="30565725" y="455295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57150</xdr:colOff>
      <xdr:row>41</xdr:row>
      <xdr:rowOff>85725</xdr:rowOff>
    </xdr:from>
    <xdr:to>
      <xdr:col>26</xdr:col>
      <xdr:colOff>238125</xdr:colOff>
      <xdr:row>41</xdr:row>
      <xdr:rowOff>85725</xdr:rowOff>
    </xdr:to>
    <xdr:cxnSp macro="">
      <xdr:nvCxnSpPr>
        <xdr:cNvPr id="19" name="Conector recto de flecha 18">
          <a:extLst>
            <a:ext uri="{FF2B5EF4-FFF2-40B4-BE49-F238E27FC236}">
              <a16:creationId xmlns:a16="http://schemas.microsoft.com/office/drawing/2014/main" id="{00000000-0008-0000-0F00-000013000000}"/>
            </a:ext>
          </a:extLst>
        </xdr:cNvPr>
        <xdr:cNvCxnSpPr/>
      </xdr:nvCxnSpPr>
      <xdr:spPr>
        <a:xfrm flipH="1">
          <a:off x="30575250" y="754380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57150</xdr:colOff>
      <xdr:row>54</xdr:row>
      <xdr:rowOff>104775</xdr:rowOff>
    </xdr:from>
    <xdr:to>
      <xdr:col>26</xdr:col>
      <xdr:colOff>238125</xdr:colOff>
      <xdr:row>54</xdr:row>
      <xdr:rowOff>104775</xdr:rowOff>
    </xdr:to>
    <xdr:cxnSp macro="">
      <xdr:nvCxnSpPr>
        <xdr:cNvPr id="20" name="Conector recto de flecha 19">
          <a:extLst>
            <a:ext uri="{FF2B5EF4-FFF2-40B4-BE49-F238E27FC236}">
              <a16:creationId xmlns:a16="http://schemas.microsoft.com/office/drawing/2014/main" id="{00000000-0008-0000-0F00-000014000000}"/>
            </a:ext>
          </a:extLst>
        </xdr:cNvPr>
        <xdr:cNvCxnSpPr/>
      </xdr:nvCxnSpPr>
      <xdr:spPr>
        <a:xfrm flipH="1">
          <a:off x="30575250" y="1017270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66675</xdr:colOff>
      <xdr:row>67</xdr:row>
      <xdr:rowOff>114300</xdr:rowOff>
    </xdr:from>
    <xdr:to>
      <xdr:col>26</xdr:col>
      <xdr:colOff>247650</xdr:colOff>
      <xdr:row>67</xdr:row>
      <xdr:rowOff>114300</xdr:rowOff>
    </xdr:to>
    <xdr:cxnSp macro="">
      <xdr:nvCxnSpPr>
        <xdr:cNvPr id="21" name="Conector recto de flecha 20">
          <a:extLst>
            <a:ext uri="{FF2B5EF4-FFF2-40B4-BE49-F238E27FC236}">
              <a16:creationId xmlns:a16="http://schemas.microsoft.com/office/drawing/2014/main" id="{00000000-0008-0000-0F00-000015000000}"/>
            </a:ext>
          </a:extLst>
        </xdr:cNvPr>
        <xdr:cNvCxnSpPr/>
      </xdr:nvCxnSpPr>
      <xdr:spPr>
        <a:xfrm flipH="1">
          <a:off x="30584775" y="12792075"/>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323850</xdr:colOff>
      <xdr:row>19</xdr:row>
      <xdr:rowOff>28575</xdr:rowOff>
    </xdr:from>
    <xdr:to>
      <xdr:col>34</xdr:col>
      <xdr:colOff>276225</xdr:colOff>
      <xdr:row>23</xdr:row>
      <xdr:rowOff>38100</xdr:rowOff>
    </xdr:to>
    <xdr:sp macro="" textlink="">
      <xdr:nvSpPr>
        <xdr:cNvPr id="26" name="CuadroTexto 25">
          <a:extLst>
            <a:ext uri="{FF2B5EF4-FFF2-40B4-BE49-F238E27FC236}">
              <a16:creationId xmlns:a16="http://schemas.microsoft.com/office/drawing/2014/main" id="{00000000-0008-0000-0F00-00001A000000}"/>
            </a:ext>
          </a:extLst>
        </xdr:cNvPr>
        <xdr:cNvSpPr txBox="1"/>
      </xdr:nvSpPr>
      <xdr:spPr>
        <a:xfrm>
          <a:off x="30841950" y="4276725"/>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361950</xdr:colOff>
      <xdr:row>40</xdr:row>
      <xdr:rowOff>57150</xdr:rowOff>
    </xdr:from>
    <xdr:to>
      <xdr:col>34</xdr:col>
      <xdr:colOff>314325</xdr:colOff>
      <xdr:row>43</xdr:row>
      <xdr:rowOff>66675</xdr:rowOff>
    </xdr:to>
    <xdr:sp macro="" textlink="">
      <xdr:nvSpPr>
        <xdr:cNvPr id="27" name="CuadroTexto 26">
          <a:extLst>
            <a:ext uri="{FF2B5EF4-FFF2-40B4-BE49-F238E27FC236}">
              <a16:creationId xmlns:a16="http://schemas.microsoft.com/office/drawing/2014/main" id="{00000000-0008-0000-0F00-00001B000000}"/>
            </a:ext>
          </a:extLst>
        </xdr:cNvPr>
        <xdr:cNvSpPr txBox="1"/>
      </xdr:nvSpPr>
      <xdr:spPr>
        <a:xfrm>
          <a:off x="30880050" y="731520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333375</xdr:colOff>
      <xdr:row>52</xdr:row>
      <xdr:rowOff>180975</xdr:rowOff>
    </xdr:from>
    <xdr:to>
      <xdr:col>34</xdr:col>
      <xdr:colOff>285750</xdr:colOff>
      <xdr:row>55</xdr:row>
      <xdr:rowOff>190500</xdr:rowOff>
    </xdr:to>
    <xdr:sp macro="" textlink="">
      <xdr:nvSpPr>
        <xdr:cNvPr id="28" name="CuadroTexto 27">
          <a:extLst>
            <a:ext uri="{FF2B5EF4-FFF2-40B4-BE49-F238E27FC236}">
              <a16:creationId xmlns:a16="http://schemas.microsoft.com/office/drawing/2014/main" id="{00000000-0008-0000-0F00-00001C000000}"/>
            </a:ext>
          </a:extLst>
        </xdr:cNvPr>
        <xdr:cNvSpPr txBox="1"/>
      </xdr:nvSpPr>
      <xdr:spPr>
        <a:xfrm>
          <a:off x="30851475" y="984885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342900</xdr:colOff>
      <xdr:row>66</xdr:row>
      <xdr:rowOff>76200</xdr:rowOff>
    </xdr:from>
    <xdr:to>
      <xdr:col>34</xdr:col>
      <xdr:colOff>295275</xdr:colOff>
      <xdr:row>69</xdr:row>
      <xdr:rowOff>85725</xdr:rowOff>
    </xdr:to>
    <xdr:sp macro="" textlink="">
      <xdr:nvSpPr>
        <xdr:cNvPr id="29" name="CuadroTexto 28">
          <a:extLst>
            <a:ext uri="{FF2B5EF4-FFF2-40B4-BE49-F238E27FC236}">
              <a16:creationId xmlns:a16="http://schemas.microsoft.com/office/drawing/2014/main" id="{00000000-0008-0000-0F00-00001D000000}"/>
            </a:ext>
          </a:extLst>
        </xdr:cNvPr>
        <xdr:cNvSpPr txBox="1"/>
      </xdr:nvSpPr>
      <xdr:spPr>
        <a:xfrm>
          <a:off x="30861000" y="1255395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0</xdr:col>
      <xdr:colOff>152400</xdr:colOff>
      <xdr:row>3</xdr:row>
      <xdr:rowOff>0</xdr:rowOff>
    </xdr:from>
    <xdr:to>
      <xdr:col>1</xdr:col>
      <xdr:colOff>1377315</xdr:colOff>
      <xdr:row>4</xdr:row>
      <xdr:rowOff>209550</xdr:rowOff>
    </xdr:to>
    <xdr:sp macro="" textlink="">
      <xdr:nvSpPr>
        <xdr:cNvPr id="24" name="Rectángulo redondeado 23">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152400" y="617220"/>
          <a:ext cx="2009775" cy="415290"/>
        </a:xfrm>
        <a:prstGeom prst="roundRect">
          <a:avLst/>
        </a:prstGeom>
        <a:solidFill>
          <a:srgbClr val="00B0F0"/>
        </a:solidFill>
        <a:ln w="12700" cap="flat" cmpd="sng" algn="ctr">
          <a:solidFill>
            <a:srgbClr val="E48312"/>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419" sz="1800" b="1" i="0" u="none" strike="noStrike" kern="0" cap="none" spc="0" normalizeH="0" baseline="0" noProof="0">
              <a:ln>
                <a:noFill/>
              </a:ln>
              <a:solidFill>
                <a:sysClr val="windowText" lastClr="000000"/>
              </a:solidFill>
              <a:effectLst/>
              <a:uLnTx/>
              <a:uFillTx/>
              <a:latin typeface="Calibri" panose="020F0502020204030204"/>
              <a:ea typeface="+mn-ea"/>
              <a:cs typeface="+mn-cs"/>
            </a:rPr>
            <a:t>INICIO </a:t>
          </a:r>
        </a:p>
      </xdr:txBody>
    </xdr:sp>
    <xdr:clientData/>
  </xdr:twoCellAnchor>
  <xdr:twoCellAnchor>
    <xdr:from>
      <xdr:col>1</xdr:col>
      <xdr:colOff>1569720</xdr:colOff>
      <xdr:row>3</xdr:row>
      <xdr:rowOff>22860</xdr:rowOff>
    </xdr:from>
    <xdr:to>
      <xdr:col>1</xdr:col>
      <xdr:colOff>3511829</xdr:colOff>
      <xdr:row>4</xdr:row>
      <xdr:rowOff>235770</xdr:rowOff>
    </xdr:to>
    <xdr:sp macro="" textlink="">
      <xdr:nvSpPr>
        <xdr:cNvPr id="25" name="Rectángulo redondeado 24">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354580" y="640080"/>
          <a:ext cx="1942109" cy="418650"/>
        </a:xfrm>
        <a:prstGeom prst="roundRect">
          <a:avLst/>
        </a:prstGeom>
        <a:solidFill>
          <a:srgbClr val="AE489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rPr>
            <a:t>INSTRUCCIONES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a3" displayName="Tabla3" ref="B23:V24" totalsRowShown="0" headerRowDxfId="958" dataDxfId="957">
  <autoFilter ref="B23:V24" xr:uid="{00000000-0009-0000-0100-000003000000}"/>
  <tableColumns count="21">
    <tableColumn id="1" xr3:uid="{00000000-0010-0000-0000-000001000000}" name="CÓDIGO DEL PRODUCTO O SERVICIO " dataDxfId="956"/>
    <tableColumn id="2" xr3:uid="{00000000-0010-0000-0000-000002000000}" name="NOMBRE DEL PRODUCTO O SERVICIO " dataDxfId="955"/>
    <tableColumn id="3" xr3:uid="{00000000-0010-0000-0000-000003000000}" name="UNIDADES PRODUCIDAS AÑO 1" dataDxfId="954"/>
    <tableColumn id="8" xr3:uid="{00000000-0010-0000-0000-000008000000}" name="PRECIO DE VENTA AÑO 1" dataDxfId="953"/>
    <tableColumn id="13" xr3:uid="{00000000-0010-0000-0000-00000D000000}" name="VENTA ANUAL AÑO 1" dataDxfId="952">
      <calculatedColumnFormula>Tabla3[[#This Row],[UNIDADES PRODUCIDAS AÑO 1]]*Tabla3[[#This Row],[PRECIO DE VENTA AÑO 1]]</calculatedColumnFormula>
    </tableColumn>
    <tableColumn id="4" xr3:uid="{00000000-0010-0000-0000-000004000000}" name="UNIDADES PRODUCIDAS AÑO 2" dataDxfId="951"/>
    <tableColumn id="9" xr3:uid="{00000000-0010-0000-0000-000009000000}" name="PRECIO DE VENTA AÑO 2" dataDxfId="950">
      <calculatedColumnFormula>ROUND((Tabla3[[#This Row],[PRECIO DE VENTA AÑO 1]]*(1+$G$12)),0)</calculatedColumnFormula>
    </tableColumn>
    <tableColumn id="14" xr3:uid="{00000000-0010-0000-0000-00000E000000}" name="VENTA ANUAL AÑO 2" dataDxfId="949">
      <calculatedColumnFormula>Tabla3[[#This Row],[UNIDADES PRODUCIDAS AÑO 2]]*Tabla3[[#This Row],[PRECIO DE VENTA AÑO 2]]</calculatedColumnFormula>
    </tableColumn>
    <tableColumn id="20" xr3:uid="{00000000-0010-0000-0000-000014000000}" name="CAMBIO PORCENTUAL EN UNIDADES VENDIDAS AÑO 2" dataDxfId="948">
      <calculatedColumnFormula>IF(Tabla3[[#This Row],[UNIDADES PRODUCIDAS AÑO 1]]=0,0,(Tabla3[[#This Row],[UNIDADES PRODUCIDAS AÑO 2]]-Tabla3[[#This Row],[UNIDADES PRODUCIDAS AÑO 1]])/Tabla3[[#This Row],[UNIDADES PRODUCIDAS AÑO 1]])</calculatedColumnFormula>
    </tableColumn>
    <tableColumn id="5" xr3:uid="{00000000-0010-0000-0000-000005000000}" name="UNIDADES PRODUCIDAS AÑO 3" dataDxfId="947"/>
    <tableColumn id="10" xr3:uid="{00000000-0010-0000-0000-00000A000000}" name="PRECIO DE VENTA AÑO 3" dataDxfId="946">
      <calculatedColumnFormula>ROUND((Tabla3[[#This Row],[PRECIO DE VENTA AÑO 2]]*(1+$G$13)),0)</calculatedColumnFormula>
    </tableColumn>
    <tableColumn id="15" xr3:uid="{00000000-0010-0000-0000-00000F000000}" name="VENTA ANUAL AÑO 3" dataDxfId="945">
      <calculatedColumnFormula>Tabla3[[#This Row],[UNIDADES PRODUCIDAS AÑO 3]]*Tabla3[[#This Row],[PRECIO DE VENTA AÑO 3]]</calculatedColumnFormula>
    </tableColumn>
    <tableColumn id="21" xr3:uid="{00000000-0010-0000-0000-000015000000}" name="CAMBIO PORCENTUAL EN UNIDADES VENDIDAS AÑO 3" dataDxfId="944">
      <calculatedColumnFormula>IF(Tabla3[[#This Row],[UNIDADES PRODUCIDAS AÑO 2]]=0,0,(Tabla3[[#This Row],[UNIDADES PRODUCIDAS AÑO 3]]-Tabla3[[#This Row],[UNIDADES PRODUCIDAS AÑO 2]])/Tabla3[[#This Row],[UNIDADES PRODUCIDAS AÑO 2]])</calculatedColumnFormula>
    </tableColumn>
    <tableColumn id="6" xr3:uid="{00000000-0010-0000-0000-000006000000}" name="UNIDADES PRODUCIDAS AÑO 4" dataDxfId="943"/>
    <tableColumn id="11" xr3:uid="{00000000-0010-0000-0000-00000B000000}" name="PRECIO DE VENTA AÑO 4" dataDxfId="942">
      <calculatedColumnFormula>ROUND((Tabla3[[#This Row],[PRECIO DE VENTA AÑO 3]]*(1+$G$14)),0)</calculatedColumnFormula>
    </tableColumn>
    <tableColumn id="16" xr3:uid="{00000000-0010-0000-0000-000010000000}" name="VENTA ANUAL AÑO 4" dataDxfId="941">
      <calculatedColumnFormula>Tabla3[[#This Row],[UNIDADES PRODUCIDAS AÑO 4]]*Tabla3[[#This Row],[PRECIO DE VENTA AÑO 4]]</calculatedColumnFormula>
    </tableColumn>
    <tableColumn id="22" xr3:uid="{00000000-0010-0000-0000-000016000000}" name="CAMBIO PORCENTUAL EN UNIDADES VENDIDAS AÑO 4" dataDxfId="940">
      <calculatedColumnFormula>IF(Tabla3[[#This Row],[UNIDADES PRODUCIDAS AÑO 3]]=0,0,(Tabla3[[#This Row],[UNIDADES PRODUCIDAS AÑO 4]]-Tabla3[[#This Row],[UNIDADES PRODUCIDAS AÑO 3]])/Tabla3[[#This Row],[UNIDADES PRODUCIDAS AÑO 3]])</calculatedColumnFormula>
    </tableColumn>
    <tableColumn id="7" xr3:uid="{00000000-0010-0000-0000-000007000000}" name="UNIDADES PRODUCIDAS AÑO 5" dataDxfId="939"/>
    <tableColumn id="12" xr3:uid="{00000000-0010-0000-0000-00000C000000}" name="PRECIO DE VENTA AÑO 5" dataDxfId="938">
      <calculatedColumnFormula>ROUND((Tabla3[[#This Row],[PRECIO DE VENTA AÑO 4]]*(1+$G$15)),0)</calculatedColumnFormula>
    </tableColumn>
    <tableColumn id="17" xr3:uid="{00000000-0010-0000-0000-000011000000}" name="VENTA ANUAL AÑO 5" dataDxfId="937">
      <calculatedColumnFormula>Tabla3[[#This Row],[UNIDADES PRODUCIDAS AÑO 5]]*Tabla3[[#This Row],[PRECIO DE VENTA AÑO 5]]</calculatedColumnFormula>
    </tableColumn>
    <tableColumn id="23" xr3:uid="{00000000-0010-0000-0000-000017000000}" name="CAMBIO PORCENTUAL EN UNIDADES VENDIDAS AÑO 5" dataDxfId="936">
      <calculatedColumnFormula>IF(Tabla3[[#This Row],[UNIDADES PRODUCIDAS AÑO 4]]=0,0,(Tabla3[[#This Row],[UNIDADES PRODUCIDAS AÑO 5]]-Tabla3[[#This Row],[UNIDADES PRODUCIDAS AÑO 4]])/Tabla3[[#This Row],[UNIDADES PRODUCIDAS AÑO 4]])</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Tabla9" displayName="Tabla9" ref="B15:D35" totalsRowShown="0" headerRowDxfId="935" dataDxfId="934">
  <autoFilter ref="B15:D35" xr:uid="{00000000-0009-0000-0100-000009000000}"/>
  <tableColumns count="3">
    <tableColumn id="1" xr3:uid="{00000000-0010-0000-0100-000001000000}" name="MATERIA PRIMA E INSUMOS " dataDxfId="933"/>
    <tableColumn id="2" xr3:uid="{00000000-0010-0000-0100-000002000000}" name="UNIDAD DE MEDIDA " dataDxfId="932"/>
    <tableColumn id="3" xr3:uid="{00000000-0010-0000-0100-000003000000}" name="COSTO UNITARIO PARA EL AÑO 1 " dataDxfId="9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a11" displayName="Tabla11" ref="C42:D43" totalsRowShown="0" headerRowDxfId="930" dataDxfId="929">
  <autoFilter ref="C42:D43" xr:uid="{00000000-0009-0000-0100-00000B000000}"/>
  <tableColumns count="2">
    <tableColumn id="1" xr3:uid="{00000000-0010-0000-0200-000001000000}" name="CÓDIGO DEL PRODUCTO Y/O SERVICIO " dataDxfId="928"/>
    <tableColumn id="2" xr3:uid="{00000000-0010-0000-0200-000002000000}" name="NOMBRE DEL PRODUCTO Y/O SERVICIO " dataDxfId="927">
      <calculatedColumnFormula>VLOOKUP(Tabla11[[#This Row],[CÓDIGO DEL PRODUCTO Y/O SERVICIO ]],Tabla3[],2,0)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a1" displayName="Tabla1" ref="C56:OT57" totalsRowShown="0" headerRowDxfId="926" dataDxfId="924" headerRowBorderDxfId="925">
  <autoFilter ref="C56:OT57" xr:uid="{00000000-0009-0000-0100-000001000000}"/>
  <tableColumns count="408">
    <tableColumn id="1" xr3:uid="{00000000-0010-0000-0300-000001000000}" name="CÓDIGO DEL PRODUCTO Y/O SERVICIO " dataDxfId="923"/>
    <tableColumn id="2" xr3:uid="{00000000-0010-0000-0300-000002000000}" name="NOMBRE DEL PRODUCTO Y/O SERVICIO " dataDxfId="922">
      <calculatedColumnFormula>VLOOKUP(Tabla1[[#This Row],[CÓDIGO DEL PRODUCTO Y/O SERVICIO ]],Tabla3[],2,0)</calculatedColumnFormula>
    </tableColumn>
    <tableColumn id="3" xr3:uid="{00000000-0010-0000-0300-000003000000}" name="Columna1" dataDxfId="921"/>
    <tableColumn id="4" xr3:uid="{00000000-0010-0000-0300-000004000000}" name="UNIDADES PRODUCIDAS AÑO 1 " dataDxfId="920">
      <calculatedColumnFormula>VLOOKUP(Tabla1[[#This Row],[CÓDIGO DEL PRODUCTO Y/O SERVICIO ]],Tabla3[#All],3,0)</calculatedColumnFormula>
    </tableColumn>
    <tableColumn id="5" xr3:uid="{00000000-0010-0000-0300-000005000000}" name="CANTIDADES A UTILIZAR EN EL AÑO 1" dataDxfId="919">
      <calculatedColumnFormula>Tabla1[[#This Row],[UNIDADES PRODUCIDAS AÑO 1 ]]*F43</calculatedColumnFormula>
    </tableColumn>
    <tableColumn id="6" xr3:uid="{00000000-0010-0000-0300-000006000000}" name="CAMBIO PORCENTUAL EN UNIDADES VENDIDAS AÑO 2" dataDxfId="918">
      <calculatedColumnFormula>VLOOKUP(Tabla1[[#This Row],[CÓDIGO DEL PRODUCTO Y/O SERVICIO ]],Tabla3[],9,0)</calculatedColumnFormula>
    </tableColumn>
    <tableColumn id="7" xr3:uid="{00000000-0010-0000-0300-000007000000}" name="CANTIDADES A UTILIZAR EN EL AÑO 2" dataDxfId="917">
      <calculatedColumnFormula>Tabla1[[#This Row],[CANTIDADES A UTILIZAR EN EL AÑO 1]]*(1+Tabla1[[#This Row],[CAMBIO PORCENTUAL EN UNIDADES VENDIDAS AÑO 2]])</calculatedColumnFormula>
    </tableColumn>
    <tableColumn id="8" xr3:uid="{00000000-0010-0000-0300-000008000000}" name="CAMBIO PORCENTUAL EN UNIDADES VENDIDAS AÑO 3" dataDxfId="916">
      <calculatedColumnFormula>VLOOKUP(Tabla1[[#This Row],[CÓDIGO DEL PRODUCTO Y/O SERVICIO ]],Tabla3[],13,0)</calculatedColumnFormula>
    </tableColumn>
    <tableColumn id="9" xr3:uid="{00000000-0010-0000-0300-000009000000}" name="CANTIDADES A UTILIZAR EN EL AÑO 3" dataDxfId="915">
      <calculatedColumnFormula>Tabla1[[#This Row],[CANTIDADES A UTILIZAR EN EL AÑO 2]]*(1+Tabla1[[#This Row],[CAMBIO PORCENTUAL EN UNIDADES VENDIDAS AÑO 3]])</calculatedColumnFormula>
    </tableColumn>
    <tableColumn id="10" xr3:uid="{00000000-0010-0000-0300-00000A000000}" name="CAMBIO PORCENTUAL EN UNIDADES VENDIDAS AÑO 4" dataDxfId="914">
      <calculatedColumnFormula>VLOOKUP(Tabla1[[#This Row],[CÓDIGO DEL PRODUCTO Y/O SERVICIO ]],Tabla3[],17,0)</calculatedColumnFormula>
    </tableColumn>
    <tableColumn id="11" xr3:uid="{00000000-0010-0000-0300-00000B000000}" name="CANTIDADES A UTILIZAR EN EL AÑO 4" dataDxfId="913">
      <calculatedColumnFormula>Tabla1[[#This Row],[CANTIDADES A UTILIZAR EN EL AÑO 3]]*(1+Tabla1[[#This Row],[CAMBIO PORCENTUAL EN UNIDADES VENDIDAS AÑO 4]])</calculatedColumnFormula>
    </tableColumn>
    <tableColumn id="12" xr3:uid="{00000000-0010-0000-0300-00000C000000}" name="CAMBIO PORCENTUAL EN UNIDADES VENDIDAS AÑO 5" dataDxfId="912">
      <calculatedColumnFormula>VLOOKUP(Tabla1[[#This Row],[CÓDIGO DEL PRODUCTO Y/O SERVICIO ]],Tabla3[],21,0)</calculatedColumnFormula>
    </tableColumn>
    <tableColumn id="13" xr3:uid="{00000000-0010-0000-0300-00000D000000}" name="CANTIDADES A UTILIZAR EN EL AÑO 5" dataDxfId="911">
      <calculatedColumnFormula>Tabla1[[#This Row],[CANTIDADES A UTILIZAR EN EL AÑO 4]]*(1+Tabla1[[#This Row],[CAMBIO PORCENTUAL EN UNIDADES VENDIDAS AÑO 5]])</calculatedColumnFormula>
    </tableColumn>
    <tableColumn id="14" xr3:uid="{00000000-0010-0000-0300-00000E000000}" name="COSTO POR UNIDAD DE PRODUCTO (1)" dataDxfId="910">
      <calculatedColumnFormula>IF(Tabla1[[#This Row],[CANTIDADES A UTILIZAR EN EL AÑO 1]]=0,0,Tabla1[[#This Row],[CANTIDADES A UTILIZAR EN EL AÑO 1]]*1/Tabla1[[#This Row],[UNIDADES PRODUCIDAS AÑO 1 ]])</calculatedColumnFormula>
    </tableColumn>
    <tableColumn id="15" xr3:uid="{00000000-0010-0000-0300-00000F000000}" name="COSTO UNITARIO AÑO 2" dataDxfId="909">
      <calculatedColumnFormula>$D$16*(1+BASES!$E$14)</calculatedColumnFormula>
    </tableColumn>
    <tableColumn id="16" xr3:uid="{00000000-0010-0000-0300-000010000000}" name="COSTO UNITARIO AÑO 3" dataDxfId="908">
      <calculatedColumnFormula>Tabla1[[#This Row],[COSTO UNITARIO AÑO 2]]*(1+BASES!$F$14)</calculatedColumnFormula>
    </tableColumn>
    <tableColumn id="17" xr3:uid="{00000000-0010-0000-0300-000011000000}" name="COSTO UNITARIO AÑO 4" dataDxfId="907">
      <calculatedColumnFormula>Tabla1[[#This Row],[COSTO UNITARIO AÑO 3]]*(1+BASES!$G$14)</calculatedColumnFormula>
    </tableColumn>
    <tableColumn id="18" xr3:uid="{00000000-0010-0000-0300-000012000000}" name="COSTO UNITARIO AÑO 5" dataDxfId="906">
      <calculatedColumnFormula>Tabla1[[#This Row],[COSTO UNITARIO AÑO 4]]*(1+BASES!$H$14)</calculatedColumnFormula>
    </tableColumn>
    <tableColumn id="20" xr3:uid="{00000000-0010-0000-0300-000014000000}" name="AÑO 1" dataDxfId="905">
      <calculatedColumnFormula>Tabla1[[#This Row],[COSTO POR UNIDAD DE PRODUCTO (1)]]*$D$16*VLOOKUP(Tabla1[[#This Row],[CÓDIGO DEL PRODUCTO Y/O SERVICIO ]],Tabla3[],3,0)</calculatedColumnFormula>
    </tableColumn>
    <tableColumn id="21" xr3:uid="{00000000-0010-0000-0300-000015000000}" name="AÑO 2" dataDxfId="904">
      <calculatedColumnFormula>Tabla1[[#This Row],[COSTO POR UNIDAD DE PRODUCTO (1)]]*Tabla1[[#This Row],[COSTO UNITARIO AÑO 2]]*VLOOKUP(Tabla1[[#This Row],[CÓDIGO DEL PRODUCTO Y/O SERVICIO ]],Tabla3[],6,0)</calculatedColumnFormula>
    </tableColumn>
    <tableColumn id="22" xr3:uid="{00000000-0010-0000-0300-000016000000}" name="AÑO 3 " dataDxfId="903">
      <calculatedColumnFormula>Tabla1[[#This Row],[COSTO POR UNIDAD DE PRODUCTO (1)]]*Tabla1[[#This Row],[COSTO UNITARIO AÑO 3]]*VLOOKUP(Tabla1[[#This Row],[CÓDIGO DEL PRODUCTO Y/O SERVICIO ]],Tabla3[],10,0)</calculatedColumnFormula>
    </tableColumn>
    <tableColumn id="23" xr3:uid="{00000000-0010-0000-0300-000017000000}" name="AÑO 4 " dataDxfId="902">
      <calculatedColumnFormula>Tabla1[[#This Row],[COSTO POR UNIDAD DE PRODUCTO (1)]]*Tabla1[[#This Row],[COSTO UNITARIO AÑO 4]]*VLOOKUP(Tabla1[[#This Row],[CÓDIGO DEL PRODUCTO Y/O SERVICIO ]],Tabla3[],14,0)</calculatedColumnFormula>
    </tableColumn>
    <tableColumn id="24" xr3:uid="{00000000-0010-0000-0300-000018000000}" name="AÑO 5 " dataDxfId="901">
      <calculatedColumnFormula>Tabla1[[#This Row],[COSTO POR UNIDAD DE PRODUCTO (1)]]*Tabla1[[#This Row],[COSTO UNITARIO AÑO 5]]*VLOOKUP(Tabla1[[#This Row],[CÓDIGO DEL PRODUCTO Y/O SERVICIO ]],Tabla3[],18,0)</calculatedColumnFormula>
    </tableColumn>
    <tableColumn id="25" xr3:uid="{00000000-0010-0000-0300-000019000000}" name="UNIDADES PRODUCIDAS AÑO 1 2" dataDxfId="900">
      <calculatedColumnFormula>VLOOKUP(Tabla1[[#This Row],[CÓDIGO DEL PRODUCTO Y/O SERVICIO ]],Tabla3[],3,0)</calculatedColumnFormula>
    </tableColumn>
    <tableColumn id="26" xr3:uid="{00000000-0010-0000-0300-00001A000000}" name="CANTIDADES A UTILIZAR EN EL AÑO 1 2" dataDxfId="899">
      <calculatedColumnFormula>G43*Tabla1[[#This Row],[UNIDADES PRODUCIDAS AÑO 1 2]]</calculatedColumnFormula>
    </tableColumn>
    <tableColumn id="27" xr3:uid="{00000000-0010-0000-0300-00001B000000}" name="CAMBIO PORCENTUAL EN UNIDADES VENDIDAS AÑO 2 2" dataDxfId="898">
      <calculatedColumnFormula>VLOOKUP(Tabla1[[#This Row],[CÓDIGO DEL PRODUCTO Y/O SERVICIO ]],Tabla3[],9,0)</calculatedColumnFormula>
    </tableColumn>
    <tableColumn id="28" xr3:uid="{00000000-0010-0000-0300-00001C000000}" name="CANTIDADES A UTILIZAR  AÑO 2 2" dataDxfId="897">
      <calculatedColumnFormula>Tabla1[[#This Row],[CANTIDADES A UTILIZAR EN EL AÑO 1 2]]*(1+Tabla1[[#This Row],[CAMBIO PORCENTUAL EN UNIDADES VENDIDAS AÑO 2 2]])</calculatedColumnFormula>
    </tableColumn>
    <tableColumn id="29" xr3:uid="{00000000-0010-0000-0300-00001D000000}" name="CAMBIO PORCENTUAL EN UNIDADES VENDIDAS AÑO 3 2" dataDxfId="896">
      <calculatedColumnFormula>VLOOKUP(Tabla1[[#This Row],[CÓDIGO DEL PRODUCTO Y/O SERVICIO ]],Tabla3[],13,0)</calculatedColumnFormula>
    </tableColumn>
    <tableColumn id="30" xr3:uid="{00000000-0010-0000-0300-00001E000000}" name="CANTIDADES A UTILIZAR  AÑO 3 2" dataDxfId="895">
      <calculatedColumnFormula>Tabla1[[#This Row],[CANTIDADES A UTILIZAR  AÑO 2 2]]*(1+Tabla1[[#This Row],[CAMBIO PORCENTUAL EN UNIDADES VENDIDAS AÑO 3 2]])</calculatedColumnFormula>
    </tableColumn>
    <tableColumn id="31" xr3:uid="{00000000-0010-0000-0300-00001F000000}" name="CAMBIO PORCENTUAL EN UNIDADES VENDIDAS AÑO 4 2" dataDxfId="894">
      <calculatedColumnFormula>VLOOKUP(Tabla1[[#This Row],[CÓDIGO DEL PRODUCTO Y/O SERVICIO ]],Tabla3[],17,0)</calculatedColumnFormula>
    </tableColumn>
    <tableColumn id="32" xr3:uid="{00000000-0010-0000-0300-000020000000}" name="CANTIDADES A UTILIZAR  AÑO 4 2" dataDxfId="893">
      <calculatedColumnFormula>Tabla1[[#This Row],[CANTIDADES A UTILIZAR  AÑO 3 2]]*(1+Tabla1[[#This Row],[CAMBIO PORCENTUAL EN UNIDADES VENDIDAS AÑO 4 2]])</calculatedColumnFormula>
    </tableColumn>
    <tableColumn id="33" xr3:uid="{00000000-0010-0000-0300-000021000000}" name="CAMBIO PORCENTUAL EN UNIDADES VENDIDAS AÑO 5 2" dataDxfId="892">
      <calculatedColumnFormula>VLOOKUP(Tabla1[[#This Row],[CÓDIGO DEL PRODUCTO Y/O SERVICIO ]],Tabla3[],21,0)</calculatedColumnFormula>
    </tableColumn>
    <tableColumn id="34" xr3:uid="{00000000-0010-0000-0300-000022000000}" name="CANTIDADES A UTILIZAR AÑO 5 2" dataDxfId="891">
      <calculatedColumnFormula>Tabla1[[#This Row],[CANTIDADES A UTILIZAR  AÑO 4 2]]*(1+Tabla1[[#This Row],[CAMBIO PORCENTUAL EN UNIDADES VENDIDAS AÑO 5 2]])</calculatedColumnFormula>
    </tableColumn>
    <tableColumn id="35" xr3:uid="{00000000-0010-0000-0300-000023000000}" name="COSTO POR UNIDAD DE PRODUCTO (2)" dataDxfId="890">
      <calculatedColumnFormula>IF(Tabla1[[#This Row],[CANTIDADES A UTILIZAR EN EL AÑO 1 2]]=0,0,Tabla1[[#This Row],[CANTIDADES A UTILIZAR EN EL AÑO 1 2]]*1/Tabla1[[#This Row],[UNIDADES PRODUCIDAS AÑO 1 2]])</calculatedColumnFormula>
    </tableColumn>
    <tableColumn id="36" xr3:uid="{00000000-0010-0000-0300-000024000000}" name="COSTO UNITARIO AÑO 2 2" dataDxfId="889">
      <calculatedColumnFormula>$D$17*(1+BASES!$E$14)</calculatedColumnFormula>
    </tableColumn>
    <tableColumn id="37" xr3:uid="{00000000-0010-0000-0300-000025000000}" name="COSTO UNITARIO AÑO 3 2" dataDxfId="888">
      <calculatedColumnFormula>Tabla1[[#This Row],[COSTO UNITARIO AÑO 2 2]]*(1+BASES!$F$14)</calculatedColumnFormula>
    </tableColumn>
    <tableColumn id="38" xr3:uid="{00000000-0010-0000-0300-000026000000}" name="COSTO UNITARIO AÑO 4 2" dataDxfId="887">
      <calculatedColumnFormula>Tabla1[[#This Row],[COSTO UNITARIO AÑO 3 2]]*(1+BASES!$G$14)</calculatedColumnFormula>
    </tableColumn>
    <tableColumn id="39" xr3:uid="{00000000-0010-0000-0300-000027000000}" name="COSTO UNITARIO AÑO 5 2" dataDxfId="886">
      <calculatedColumnFormula>Tabla1[[#This Row],[COSTO UNITARIO AÑO 4 2]]*(1+BASES!$H$14)</calculatedColumnFormula>
    </tableColumn>
    <tableColumn id="40" xr3:uid="{00000000-0010-0000-0300-000028000000}" name="AÑO 1 2" dataDxfId="885">
      <calculatedColumnFormula>Tabla1[[#This Row],[COSTO POR UNIDAD DE PRODUCTO (2)]]*$D$17*VLOOKUP(Tabla1[[#This Row],[CÓDIGO DEL PRODUCTO Y/O SERVICIO ]],Tabla3[],3,0)</calculatedColumnFormula>
    </tableColumn>
    <tableColumn id="41" xr3:uid="{00000000-0010-0000-0300-000029000000}" name="AÑO 2 2" dataDxfId="884">
      <calculatedColumnFormula>Tabla1[[#This Row],[COSTO POR UNIDAD DE PRODUCTO (2)]]*Tabla1[[#This Row],[COSTO UNITARIO AÑO 2 2]]*VLOOKUP(Tabla1[[#This Row],[CÓDIGO DEL PRODUCTO Y/O SERVICIO ]],Tabla3[],6,0)</calculatedColumnFormula>
    </tableColumn>
    <tableColumn id="42" xr3:uid="{00000000-0010-0000-0300-00002A000000}" name="AÑO 3 2" dataDxfId="883">
      <calculatedColumnFormula>Tabla1[[#This Row],[COSTO POR UNIDAD DE PRODUCTO (2)]]*Tabla1[[#This Row],[COSTO UNITARIO AÑO 3 2]]*VLOOKUP(Tabla1[[#This Row],[CÓDIGO DEL PRODUCTO Y/O SERVICIO ]],Tabla3[],10,0)</calculatedColumnFormula>
    </tableColumn>
    <tableColumn id="43" xr3:uid="{00000000-0010-0000-0300-00002B000000}" name="AÑO 4 2" dataDxfId="882">
      <calculatedColumnFormula>Tabla1[[#This Row],[COSTO POR UNIDAD DE PRODUCTO (2)]]*Tabla1[[#This Row],[COSTO UNITARIO AÑO 4 2]]*VLOOKUP(Tabla1[[#This Row],[CÓDIGO DEL PRODUCTO Y/O SERVICIO ]],Tabla3[],14,0)</calculatedColumnFormula>
    </tableColumn>
    <tableColumn id="44" xr3:uid="{00000000-0010-0000-0300-00002C000000}" name="AÑO 5 2" dataDxfId="881">
      <calculatedColumnFormula>Tabla1[[#This Row],[COSTO POR UNIDAD DE PRODUCTO (2)]]*Tabla1[[#This Row],[COSTO UNITARIO AÑO 5 2]]*VLOOKUP(Tabla1[[#This Row],[CÓDIGO DEL PRODUCTO Y/O SERVICIO ]],Tabla3[],18,0)</calculatedColumnFormula>
    </tableColumn>
    <tableColumn id="46" xr3:uid="{00000000-0010-0000-0300-00002E000000}" name="UNIDADES PRODUCIDAS AÑO 1 3" dataDxfId="880">
      <calculatedColumnFormula>VLOOKUP(Tabla1[[#This Row],[CÓDIGO DEL PRODUCTO Y/O SERVICIO ]],Tabla3[],3,0)</calculatedColumnFormula>
    </tableColumn>
    <tableColumn id="47" xr3:uid="{00000000-0010-0000-0300-00002F000000}" name="CANTIDADES A UTILIZAR  AÑO 1 3" dataDxfId="879">
      <calculatedColumnFormula>H43*Tabla1[[#This Row],[UNIDADES PRODUCIDAS AÑO 1 3]]</calculatedColumnFormula>
    </tableColumn>
    <tableColumn id="48" xr3:uid="{00000000-0010-0000-0300-000030000000}" name="CAMBIO PORCENTUAL EN UNIDADES VENDIDAS AÑO 2 3" dataDxfId="878">
      <calculatedColumnFormula>VLOOKUP(Tabla1[[#This Row],[CÓDIGO DEL PRODUCTO Y/O SERVICIO ]],Tabla3[],9,0)</calculatedColumnFormula>
    </tableColumn>
    <tableColumn id="49" xr3:uid="{00000000-0010-0000-0300-000031000000}" name="CANTIDADES A UTILIZAR  AÑO 2 3" dataDxfId="877">
      <calculatedColumnFormula>Tabla1[[#This Row],[CANTIDADES A UTILIZAR  AÑO 1 3]]*(1+Tabla1[[#This Row],[CAMBIO PORCENTUAL EN UNIDADES VENDIDAS AÑO 2 3]])</calculatedColumnFormula>
    </tableColumn>
    <tableColumn id="50" xr3:uid="{00000000-0010-0000-0300-000032000000}" name="CAMBIO PORCENTUAL EN UNIDADES VENDIDAS AÑO 3 3" dataDxfId="876">
      <calculatedColumnFormula>VLOOKUP(Tabla1[[#This Row],[CÓDIGO DEL PRODUCTO Y/O SERVICIO ]],Tabla3[],13,0)</calculatedColumnFormula>
    </tableColumn>
    <tableColumn id="51" xr3:uid="{00000000-0010-0000-0300-000033000000}" name="CANTIDADES A UTILIZAR  AÑO 3 3" dataDxfId="875">
      <calculatedColumnFormula>Tabla1[[#This Row],[CANTIDADES A UTILIZAR  AÑO 2 3]]*(1+Tabla1[[#This Row],[CAMBIO PORCENTUAL EN UNIDADES VENDIDAS AÑO 3 3]])</calculatedColumnFormula>
    </tableColumn>
    <tableColumn id="52" xr3:uid="{00000000-0010-0000-0300-000034000000}" name="CAMBIO PORCENTUAL EN UNIDADES VENDIDAS AÑO 4 3" dataDxfId="874">
      <calculatedColumnFormula>VLOOKUP(Tabla1[[#This Row],[CÓDIGO DEL PRODUCTO Y/O SERVICIO ]],Tabla3[],17,0)</calculatedColumnFormula>
    </tableColumn>
    <tableColumn id="53" xr3:uid="{00000000-0010-0000-0300-000035000000}" name="CANTIDADES A UTILIZAR  AÑO 4 3" dataDxfId="873">
      <calculatedColumnFormula>Tabla1[[#This Row],[CANTIDADES A UTILIZAR  AÑO 3 3]]*(1+Tabla1[[#This Row],[CAMBIO PORCENTUAL EN UNIDADES VENDIDAS AÑO 4 3]])</calculatedColumnFormula>
    </tableColumn>
    <tableColumn id="54" xr3:uid="{00000000-0010-0000-0300-000036000000}" name="CAMBIO PORCENTUAL EN UNIDADES VENDIDAS AÑO 5 3" dataDxfId="872">
      <calculatedColumnFormula>VLOOKUP(Tabla1[[#This Row],[CÓDIGO DEL PRODUCTO Y/O SERVICIO ]],Tabla3[],21,0)</calculatedColumnFormula>
    </tableColumn>
    <tableColumn id="55" xr3:uid="{00000000-0010-0000-0300-000037000000}" name="CANTIDADES A UTILIZAR AÑO 5 3" dataDxfId="871">
      <calculatedColumnFormula>Tabla1[[#This Row],[CANTIDADES A UTILIZAR  AÑO 4 3]]*(1+Tabla1[[#This Row],[CAMBIO PORCENTUAL EN UNIDADES VENDIDAS AÑO 5 3]])</calculatedColumnFormula>
    </tableColumn>
    <tableColumn id="56" xr3:uid="{00000000-0010-0000-0300-000038000000}" name="COSTO POR UNIDAD DE PRODUCTO (3)" dataDxfId="870">
      <calculatedColumnFormula>IF(Tabla1[[#This Row],[CANTIDADES A UTILIZAR  AÑO 1 3]]=0,0,Tabla1[[#This Row],[CANTIDADES A UTILIZAR  AÑO 1 3]]*1/Tabla1[[#This Row],[UNIDADES PRODUCIDAS AÑO 1 3]])</calculatedColumnFormula>
    </tableColumn>
    <tableColumn id="57" xr3:uid="{00000000-0010-0000-0300-000039000000}" name="COSTO UNITARIO AÑO 2 3" dataDxfId="869">
      <calculatedColumnFormula>$D$18*(1+BASES!$E$14)</calculatedColumnFormula>
    </tableColumn>
    <tableColumn id="58" xr3:uid="{00000000-0010-0000-0300-00003A000000}" name="COSTO UNITARIO AÑO 3 3" dataDxfId="868">
      <calculatedColumnFormula>Tabla1[[#This Row],[COSTO UNITARIO AÑO 2 3]]*(1+BASES!$F$14)</calculatedColumnFormula>
    </tableColumn>
    <tableColumn id="59" xr3:uid="{00000000-0010-0000-0300-00003B000000}" name="COSTO UNITARIO AÑO 4 3" dataDxfId="867">
      <calculatedColumnFormula>Tabla1[[#This Row],[COSTO UNITARIO AÑO 3 3]]*(1+BASES!$G$14)</calculatedColumnFormula>
    </tableColumn>
    <tableColumn id="60" xr3:uid="{00000000-0010-0000-0300-00003C000000}" name=" COSTO UNITARIO AÑO 5 3" dataDxfId="866">
      <calculatedColumnFormula>Tabla1[[#This Row],[COSTO UNITARIO AÑO 4 3]]*(1+BASES!$H$14)</calculatedColumnFormula>
    </tableColumn>
    <tableColumn id="61" xr3:uid="{00000000-0010-0000-0300-00003D000000}" name="AÑO 1 3" dataDxfId="865">
      <calculatedColumnFormula>Tabla1[[#This Row],[COSTO POR UNIDAD DE PRODUCTO (3)]]*$D$18*VLOOKUP(Tabla1[[#This Row],[CÓDIGO DEL PRODUCTO Y/O SERVICIO ]],Tabla3[],3,0)</calculatedColumnFormula>
    </tableColumn>
    <tableColumn id="62" xr3:uid="{00000000-0010-0000-0300-00003E000000}" name="AÑO 2 3" dataDxfId="864">
      <calculatedColumnFormula>Tabla1[[#This Row],[COSTO POR UNIDAD DE PRODUCTO (3)]]*Tabla1[[#This Row],[COSTO UNITARIO AÑO 2 3]]*VLOOKUP(Tabla1[[#This Row],[CÓDIGO DEL PRODUCTO Y/O SERVICIO ]],Tabla3[],6,0)</calculatedColumnFormula>
    </tableColumn>
    <tableColumn id="63" xr3:uid="{00000000-0010-0000-0300-00003F000000}" name="AÑO 3 3" dataDxfId="863">
      <calculatedColumnFormula>Tabla1[[#This Row],[COSTO POR UNIDAD DE PRODUCTO (3)]]*Tabla1[[#This Row],[COSTO UNITARIO AÑO 3 3]]*VLOOKUP(Tabla1[[#This Row],[CÓDIGO DEL PRODUCTO Y/O SERVICIO ]],Tabla3[],10,0)</calculatedColumnFormula>
    </tableColumn>
    <tableColumn id="64" xr3:uid="{00000000-0010-0000-0300-000040000000}" name="AÑO 4 3" dataDxfId="862">
      <calculatedColumnFormula>Tabla1[[#This Row],[COSTO POR UNIDAD DE PRODUCTO (3)]]*Tabla1[[#This Row],[COSTO UNITARIO AÑO 4 3]]*VLOOKUP(Tabla1[[#This Row],[CÓDIGO DEL PRODUCTO Y/O SERVICIO ]],Tabla3[],14,0)</calculatedColumnFormula>
    </tableColumn>
    <tableColumn id="65" xr3:uid="{00000000-0010-0000-0300-000041000000}" name="AÑO 5 3" dataDxfId="861">
      <calculatedColumnFormula>Tabla1[[#This Row],[COSTO POR UNIDAD DE PRODUCTO (3)]]*Tabla1[[#This Row],[ COSTO UNITARIO AÑO 5 3]]*VLOOKUP(Tabla1[[#This Row],[CÓDIGO DEL PRODUCTO Y/O SERVICIO ]],Tabla3[],18,0)</calculatedColumnFormula>
    </tableColumn>
    <tableColumn id="66" xr3:uid="{00000000-0010-0000-0300-000042000000}" name="UNIDADES PRODUCIDAS AÑO 1 4" dataDxfId="860">
      <calculatedColumnFormula>VLOOKUP(Tabla1[[#This Row],[CÓDIGO DEL PRODUCTO Y/O SERVICIO ]],Tabla3[],3,0)</calculatedColumnFormula>
    </tableColumn>
    <tableColumn id="67" xr3:uid="{00000000-0010-0000-0300-000043000000}" name="CANTIDADES A UTILIZAR  AÑO 1 4" dataDxfId="859">
      <calculatedColumnFormula>I43*Tabla1[[#This Row],[UNIDADES PRODUCIDAS AÑO 1 4]]</calculatedColumnFormula>
    </tableColumn>
    <tableColumn id="68" xr3:uid="{00000000-0010-0000-0300-000044000000}" name="CAMBIO PORCENTUAL EN UNIDADES VENDIDAS AÑO 2 4" dataDxfId="858">
      <calculatedColumnFormula>VLOOKUP(Tabla1[[#This Row],[CÓDIGO DEL PRODUCTO Y/O SERVICIO ]],Tabla3[],9,0)</calculatedColumnFormula>
    </tableColumn>
    <tableColumn id="69" xr3:uid="{00000000-0010-0000-0300-000045000000}" name="CANTIDADES A UTILIZAR  AÑO 2 4" dataDxfId="857">
      <calculatedColumnFormula>Tabla1[[#This Row],[CANTIDADES A UTILIZAR  AÑO 1 4]]*(1+Tabla1[[#This Row],[CAMBIO PORCENTUAL EN UNIDADES VENDIDAS AÑO 2 4]])</calculatedColumnFormula>
    </tableColumn>
    <tableColumn id="70" xr3:uid="{00000000-0010-0000-0300-000046000000}" name="CAMBIO PORCENTUAL EN UNIDADES VENDIDAS AÑO 3 4" dataDxfId="856">
      <calculatedColumnFormula>VLOOKUP(Tabla1[[#This Row],[CÓDIGO DEL PRODUCTO Y/O SERVICIO ]],Tabla3[],13,0)</calculatedColumnFormula>
    </tableColumn>
    <tableColumn id="71" xr3:uid="{00000000-0010-0000-0300-000047000000}" name="CANTIDADES A UTILIZAR  AÑO 3 4" dataDxfId="855">
      <calculatedColumnFormula>Tabla1[[#This Row],[CANTIDADES A UTILIZAR  AÑO 2 4]]*(1+Tabla1[[#This Row],[CAMBIO PORCENTUAL EN UNIDADES VENDIDAS AÑO 3 4]])</calculatedColumnFormula>
    </tableColumn>
    <tableColumn id="72" xr3:uid="{00000000-0010-0000-0300-000048000000}" name="CAMBIO PORCENTUAL EN UNIDADES VENDIDAS AÑO 4 4" dataDxfId="854">
      <calculatedColumnFormula>VLOOKUP(Tabla1[[#This Row],[CÓDIGO DEL PRODUCTO Y/O SERVICIO ]],Tabla3[],17,0)</calculatedColumnFormula>
    </tableColumn>
    <tableColumn id="73" xr3:uid="{00000000-0010-0000-0300-000049000000}" name="CANTIDADES A UTILIZAR  AÑO 4 4" dataDxfId="853">
      <calculatedColumnFormula>Tabla1[[#This Row],[CANTIDADES A UTILIZAR  AÑO 3 4]]*(1+Tabla1[[#This Row],[CAMBIO PORCENTUAL EN UNIDADES VENDIDAS AÑO 4 4]])</calculatedColumnFormula>
    </tableColumn>
    <tableColumn id="74" xr3:uid="{00000000-0010-0000-0300-00004A000000}" name="CAMBIO PORCENTUAL EN UNIDADES VENDIDAS AÑO 5 4" dataDxfId="852">
      <calculatedColumnFormula>VLOOKUP(Tabla1[[#This Row],[CÓDIGO DEL PRODUCTO Y/O SERVICIO ]],Tabla3[],21,0)</calculatedColumnFormula>
    </tableColumn>
    <tableColumn id="75" xr3:uid="{00000000-0010-0000-0300-00004B000000}" name="CANTIDADES A UTILIZAR AÑO 5 4" dataDxfId="851">
      <calculatedColumnFormula>Tabla1[[#This Row],[CANTIDADES A UTILIZAR  AÑO 4 4]]*(1+Tabla1[[#This Row],[CAMBIO PORCENTUAL EN UNIDADES VENDIDAS AÑO 5 4]])</calculatedColumnFormula>
    </tableColumn>
    <tableColumn id="76" xr3:uid="{00000000-0010-0000-0300-00004C000000}" name="COSTO POR UNIDAD DE PRODUCTO (4) " dataDxfId="850">
      <calculatedColumnFormula>IF(Tabla1[[#This Row],[CANTIDADES A UTILIZAR  AÑO 1 4]]=0,0,Tabla1[[#This Row],[CANTIDADES A UTILIZAR  AÑO 1 4]]*1/Tabla1[[#This Row],[UNIDADES PRODUCIDAS AÑO 1 4]])</calculatedColumnFormula>
    </tableColumn>
    <tableColumn id="77" xr3:uid="{00000000-0010-0000-0300-00004D000000}" name="COSTO UNITARIO AÑO 2 4" dataDxfId="849">
      <calculatedColumnFormula>$D$19*(1+BASES!$E$14)</calculatedColumnFormula>
    </tableColumn>
    <tableColumn id="78" xr3:uid="{00000000-0010-0000-0300-00004E000000}" name="COSTO UNITARIO AÑO 3 4" dataDxfId="848">
      <calculatedColumnFormula>Tabla1[[#This Row],[COSTO UNITARIO AÑO 2 4]]*(1+BASES!$F$14)</calculatedColumnFormula>
    </tableColumn>
    <tableColumn id="79" xr3:uid="{00000000-0010-0000-0300-00004F000000}" name="COSTO UNITARIO AÑO 4 4" dataDxfId="847">
      <calculatedColumnFormula>Tabla1[[#This Row],[COSTO UNITARIO AÑO 3 4]]*(1+BASES!$G$14)</calculatedColumnFormula>
    </tableColumn>
    <tableColumn id="80" xr3:uid="{00000000-0010-0000-0300-000050000000}" name="COSTO UNITARIO AÑO 5 4" dataDxfId="846">
      <calculatedColumnFormula>Tabla1[[#This Row],[COSTO UNITARIO AÑO 4 4]]*(1+BASES!$H$14)</calculatedColumnFormula>
    </tableColumn>
    <tableColumn id="81" xr3:uid="{00000000-0010-0000-0300-000051000000}" name="AÑO 1 4" dataDxfId="845">
      <calculatedColumnFormula>Tabla1[[#This Row],[COSTO POR UNIDAD DE PRODUCTO (4) ]]*$D$19*VLOOKUP(Tabla1[[#This Row],[CÓDIGO DEL PRODUCTO Y/O SERVICIO ]],Tabla3[],3,0)</calculatedColumnFormula>
    </tableColumn>
    <tableColumn id="82" xr3:uid="{00000000-0010-0000-0300-000052000000}" name="AÑO 2 4" dataDxfId="844">
      <calculatedColumnFormula>Tabla1[[#This Row],[COSTO POR UNIDAD DE PRODUCTO (4) ]]*Tabla1[[#This Row],[COSTO UNITARIO AÑO 2 4]]*VLOOKUP(Tabla1[[#This Row],[CÓDIGO DEL PRODUCTO Y/O SERVICIO ]],Tabla3[],6,0)</calculatedColumnFormula>
    </tableColumn>
    <tableColumn id="83" xr3:uid="{00000000-0010-0000-0300-000053000000}" name="AÑO 3 4" dataDxfId="843">
      <calculatedColumnFormula>Tabla1[[#This Row],[COSTO POR UNIDAD DE PRODUCTO (4) ]]*Tabla1[[#This Row],[COSTO UNITARIO AÑO 3 4]]*VLOOKUP(Tabla1[[#This Row],[CÓDIGO DEL PRODUCTO Y/O SERVICIO ]],Tabla3[],10,0)</calculatedColumnFormula>
    </tableColumn>
    <tableColumn id="84" xr3:uid="{00000000-0010-0000-0300-000054000000}" name="AÑO 4 4" dataDxfId="842">
      <calculatedColumnFormula>Tabla1[[#This Row],[COSTO POR UNIDAD DE PRODUCTO (4) ]]*Tabla1[[#This Row],[COSTO UNITARIO AÑO 4 4]]*VLOOKUP(Tabla1[[#This Row],[CÓDIGO DEL PRODUCTO Y/O SERVICIO ]],Tabla3[],14,0)</calculatedColumnFormula>
    </tableColumn>
    <tableColumn id="85" xr3:uid="{00000000-0010-0000-0300-000055000000}" name="AÑO 5 4" dataDxfId="841">
      <calculatedColumnFormula>Tabla1[[#This Row],[COSTO POR UNIDAD DE PRODUCTO (4) ]]*Tabla1[[#This Row],[COSTO UNITARIO AÑO 5 4]]*VLOOKUP(Tabla1[[#This Row],[CÓDIGO DEL PRODUCTO Y/O SERVICIO ]],Tabla3[],18,0)</calculatedColumnFormula>
    </tableColumn>
    <tableColumn id="19" xr3:uid="{00000000-0010-0000-0300-000013000000}" name="UNIDADES PRODUCIDAS AÑO 1 5" dataDxfId="840">
      <calculatedColumnFormula>VLOOKUP(Tabla1[[#This Row],[CÓDIGO DEL PRODUCTO Y/O SERVICIO ]],Tabla3[],3,0)</calculatedColumnFormula>
    </tableColumn>
    <tableColumn id="45" xr3:uid="{00000000-0010-0000-0300-00002D000000}" name="CANTIDADES A UTILIZAR  AÑO 1 5" dataDxfId="839">
      <calculatedColumnFormula>Tabla1[[#This Row],[UNIDADES PRODUCIDAS AÑO 1 5]]*J43</calculatedColumnFormula>
    </tableColumn>
    <tableColumn id="86" xr3:uid="{00000000-0010-0000-0300-000056000000}" name="CAMBIO PORCENTUAL EN UNIDADES VENDIDAS AÑO 2 5" dataDxfId="838">
      <calculatedColumnFormula>VLOOKUP(Tabla1[[#This Row],[CÓDIGO DEL PRODUCTO Y/O SERVICIO ]],Tabla3[],9,0)</calculatedColumnFormula>
    </tableColumn>
    <tableColumn id="87" xr3:uid="{00000000-0010-0000-0300-000057000000}" name="CANTIDADES A UTILIZAR  AÑO 2 5" dataDxfId="837">
      <calculatedColumnFormula>Tabla1[[#This Row],[CANTIDADES A UTILIZAR  AÑO 1 5]]*(1+Tabla1[[#This Row],[CAMBIO PORCENTUAL EN UNIDADES VENDIDAS AÑO 2 5]])</calculatedColumnFormula>
    </tableColumn>
    <tableColumn id="88" xr3:uid="{00000000-0010-0000-0300-000058000000}" name="CAMBIO PORCENTUAL EN UNIDADES VENDIDAS AÑO 3 5" dataDxfId="836">
      <calculatedColumnFormula>VLOOKUP(Tabla1[[#This Row],[CÓDIGO DEL PRODUCTO Y/O SERVICIO ]],Tabla3[],13,0)</calculatedColumnFormula>
    </tableColumn>
    <tableColumn id="89" xr3:uid="{00000000-0010-0000-0300-000059000000}" name="CANTIDADES A UTILIZAR  AÑO 3 5" dataDxfId="835">
      <calculatedColumnFormula>Tabla1[[#This Row],[CANTIDADES A UTILIZAR  AÑO 2 5]]*(1+Tabla1[[#This Row],[CAMBIO PORCENTUAL EN UNIDADES VENDIDAS AÑO 3 5]])</calculatedColumnFormula>
    </tableColumn>
    <tableColumn id="90" xr3:uid="{00000000-0010-0000-0300-00005A000000}" name="CAMBIO PORCENTUAL EN UNIDADES VENDIDAS AÑO 4 5" dataDxfId="834">
      <calculatedColumnFormula>VLOOKUP(Tabla1[[#This Row],[CÓDIGO DEL PRODUCTO Y/O SERVICIO ]],Tabla3[],17,0)</calculatedColumnFormula>
    </tableColumn>
    <tableColumn id="91" xr3:uid="{00000000-0010-0000-0300-00005B000000}" name="CANTIDADES A UTILIZAR  AÑO 4 5" dataDxfId="833">
      <calculatedColumnFormula>Tabla1[[#This Row],[CANTIDADES A UTILIZAR  AÑO 3 5]]*(1+Tabla1[[#This Row],[CAMBIO PORCENTUAL EN UNIDADES VENDIDAS AÑO 4 5]])</calculatedColumnFormula>
    </tableColumn>
    <tableColumn id="92" xr3:uid="{00000000-0010-0000-0300-00005C000000}" name="CAMBIO PORCENTUAL EN UNIDADES VENDIDAS AÑO 5 5" dataDxfId="832">
      <calculatedColumnFormula>VLOOKUP(Tabla1[[#This Row],[CÓDIGO DEL PRODUCTO Y/O SERVICIO ]],Tabla3[],21,0)</calculatedColumnFormula>
    </tableColumn>
    <tableColumn id="93" xr3:uid="{00000000-0010-0000-0300-00005D000000}" name="CANTIDADES A UTILIZAR AÑO 5 5" dataDxfId="831">
      <calculatedColumnFormula>Tabla1[[#This Row],[CANTIDADES A UTILIZAR  AÑO 4 5]]*(1+Tabla1[[#This Row],[CAMBIO PORCENTUAL EN UNIDADES VENDIDAS AÑO 5 5]])</calculatedColumnFormula>
    </tableColumn>
    <tableColumn id="94" xr3:uid="{00000000-0010-0000-0300-00005E000000}" name="COSTO POR UNIDAD DE PRODUCTO (5)" dataDxfId="830">
      <calculatedColumnFormula>IF(Tabla1[[#This Row],[CANTIDADES A UTILIZAR  AÑO 1 5]]=0,0,Tabla1[[#This Row],[CANTIDADES A UTILIZAR  AÑO 1 5]]*1/Tabla1[[#This Row],[UNIDADES PRODUCIDAS AÑO 1 5]])</calculatedColumnFormula>
    </tableColumn>
    <tableColumn id="95" xr3:uid="{00000000-0010-0000-0300-00005F000000}" name="COSTO UNITARIO AÑO 2 5" dataDxfId="829">
      <calculatedColumnFormula>$D$20*(1+BASES!$E$14)</calculatedColumnFormula>
    </tableColumn>
    <tableColumn id="96" xr3:uid="{00000000-0010-0000-0300-000060000000}" name="COSTO UNITARIO AÑO 3 5" dataDxfId="828">
      <calculatedColumnFormula>Tabla1[[#This Row],[COSTO UNITARIO AÑO 2 5]]*(1+BASES!$F$14)</calculatedColumnFormula>
    </tableColumn>
    <tableColumn id="97" xr3:uid="{00000000-0010-0000-0300-000061000000}" name="COSTO UNITARIO AÑO 4 5" dataDxfId="827">
      <calculatedColumnFormula>Tabla1[[#This Row],[COSTO UNITARIO AÑO 3 5]]*(1+BASES!$G$14)</calculatedColumnFormula>
    </tableColumn>
    <tableColumn id="98" xr3:uid="{00000000-0010-0000-0300-000062000000}" name="COSTO UNITARIO AÑO 5 5 " dataDxfId="826">
      <calculatedColumnFormula>Tabla1[[#This Row],[COSTO UNITARIO AÑO 4 5]]*(1+BASES!$H$14)</calculatedColumnFormula>
    </tableColumn>
    <tableColumn id="99" xr3:uid="{00000000-0010-0000-0300-000063000000}" name="AÑO 1 5" dataDxfId="825">
      <calculatedColumnFormula>Tabla1[[#This Row],[COSTO POR UNIDAD DE PRODUCTO (5)]]*$D$20*VLOOKUP(Tabla1[[#This Row],[CÓDIGO DEL PRODUCTO Y/O SERVICIO ]],Tabla3[],3,0)</calculatedColumnFormula>
    </tableColumn>
    <tableColumn id="100" xr3:uid="{00000000-0010-0000-0300-000064000000}" name="AÑO 2 5" dataDxfId="824">
      <calculatedColumnFormula>Tabla1[[#This Row],[COSTO POR UNIDAD DE PRODUCTO (5)]]*Tabla1[[#This Row],[COSTO UNITARIO AÑO 2 5]]*VLOOKUP(Tabla1[[#This Row],[CÓDIGO DEL PRODUCTO Y/O SERVICIO ]],Tabla3[],6,0)</calculatedColumnFormula>
    </tableColumn>
    <tableColumn id="101" xr3:uid="{00000000-0010-0000-0300-000065000000}" name="AÑO 3 5 " dataDxfId="823">
      <calculatedColumnFormula>Tabla1[[#This Row],[COSTO POR UNIDAD DE PRODUCTO (5)]]*Tabla1[[#This Row],[COSTO UNITARIO AÑO 3 5]]*VLOOKUP(Tabla1[[#This Row],[CÓDIGO DEL PRODUCTO Y/O SERVICIO ]],Tabla3[],10,0)</calculatedColumnFormula>
    </tableColumn>
    <tableColumn id="102" xr3:uid="{00000000-0010-0000-0300-000066000000}" name="AÑO 4 5" dataDxfId="822">
      <calculatedColumnFormula>Tabla1[[#This Row],[COSTO POR UNIDAD DE PRODUCTO (5)]]*Tabla1[[#This Row],[COSTO UNITARIO AÑO 4 5]]*VLOOKUP(Tabla1[[#This Row],[CÓDIGO DEL PRODUCTO Y/O SERVICIO ]],Tabla3[],14,0)</calculatedColumnFormula>
    </tableColumn>
    <tableColumn id="103" xr3:uid="{00000000-0010-0000-0300-000067000000}" name="AÑO 5 5" dataDxfId="821">
      <calculatedColumnFormula>Tabla1[[#This Row],[COSTO POR UNIDAD DE PRODUCTO (5)]]*Tabla1[[#This Row],[COSTO UNITARIO AÑO 5 5 ]]*VLOOKUP(Tabla1[[#This Row],[CÓDIGO DEL PRODUCTO Y/O SERVICIO ]],Tabla3[],18,0)</calculatedColumnFormula>
    </tableColumn>
    <tableColumn id="104" xr3:uid="{00000000-0010-0000-0300-000068000000}" name="UNIDADES PRODUCIDAS AÑO 1 6" dataDxfId="820">
      <calculatedColumnFormula>VLOOKUP(Tabla1[[#This Row],[CÓDIGO DEL PRODUCTO Y/O SERVICIO ]],Tabla3[],3,0)</calculatedColumnFormula>
    </tableColumn>
    <tableColumn id="105" xr3:uid="{00000000-0010-0000-0300-000069000000}" name="CANTIDADES A UTILIZAR  AÑO 1 6" dataDxfId="819">
      <calculatedColumnFormula>Tabla1[[#This Row],[UNIDADES PRODUCIDAS AÑO 1 6]]*K43</calculatedColumnFormula>
    </tableColumn>
    <tableColumn id="106" xr3:uid="{00000000-0010-0000-0300-00006A000000}" name="CAMBIO PORCENTUAL EN UNIDADES VENDIDAS AÑO 2 6" dataDxfId="818">
      <calculatedColumnFormula>VLOOKUP(Tabla1[[#This Row],[CÓDIGO DEL PRODUCTO Y/O SERVICIO ]],Tabla3[],9,0)</calculatedColumnFormula>
    </tableColumn>
    <tableColumn id="107" xr3:uid="{00000000-0010-0000-0300-00006B000000}" name="CANTIDADES A UTILIZAR  AÑO 2 6" dataDxfId="817">
      <calculatedColumnFormula>Tabla1[[#This Row],[CANTIDADES A UTILIZAR  AÑO 1 6]]*(1+Tabla1[[#This Row],[CAMBIO PORCENTUAL EN UNIDADES VENDIDAS AÑO 2 6]])</calculatedColumnFormula>
    </tableColumn>
    <tableColumn id="108" xr3:uid="{00000000-0010-0000-0300-00006C000000}" name="CAMBIO PORCENTUAL EN UNIDADES VENDIDAS AÑO 3 6" dataDxfId="816">
      <calculatedColumnFormula>VLOOKUP(Tabla1[[#This Row],[CÓDIGO DEL PRODUCTO Y/O SERVICIO ]],Tabla3[],13,0)</calculatedColumnFormula>
    </tableColumn>
    <tableColumn id="109" xr3:uid="{00000000-0010-0000-0300-00006D000000}" name="CANTIDADES A UTILIZAR  AÑO 3 6 " dataDxfId="815">
      <calculatedColumnFormula>Tabla1[[#This Row],[CANTIDADES A UTILIZAR  AÑO 2 6]]*(1+Tabla1[[#This Row],[CAMBIO PORCENTUAL EN UNIDADES VENDIDAS AÑO 3 6]])</calculatedColumnFormula>
    </tableColumn>
    <tableColumn id="110" xr3:uid="{00000000-0010-0000-0300-00006E000000}" name="CAMBIO PORCENTUAL EN UNIDADES VENDIDAS AÑO 4 6" dataDxfId="814">
      <calculatedColumnFormula>VLOOKUP(Tabla1[[#This Row],[CÓDIGO DEL PRODUCTO Y/O SERVICIO ]],Tabla3[],17,0)</calculatedColumnFormula>
    </tableColumn>
    <tableColumn id="111" xr3:uid="{00000000-0010-0000-0300-00006F000000}" name="CANTIDADES A UTILIZAR  AÑO 4 6" dataDxfId="813">
      <calculatedColumnFormula>Tabla1[[#This Row],[CANTIDADES A UTILIZAR  AÑO 3 6 ]]*(1+Tabla1[[#This Row],[CAMBIO PORCENTUAL EN UNIDADES VENDIDAS AÑO 4 6]])</calculatedColumnFormula>
    </tableColumn>
    <tableColumn id="112" xr3:uid="{00000000-0010-0000-0300-000070000000}" name="CAMBIO PORCENTUAL EN UNIDADES VENDIDAS AÑO 5 6" dataDxfId="812">
      <calculatedColumnFormula>VLOOKUP(Tabla1[[#This Row],[CÓDIGO DEL PRODUCTO Y/O SERVICIO ]],Tabla3[],21,0)</calculatedColumnFormula>
    </tableColumn>
    <tableColumn id="113" xr3:uid="{00000000-0010-0000-0300-000071000000}" name="CANTIDADES A UTILIZAR AÑO 5 6" dataDxfId="811">
      <calculatedColumnFormula>Tabla1[[#This Row],[CANTIDADES A UTILIZAR  AÑO 4 6]]*(1+Tabla1[[#This Row],[CAMBIO PORCENTUAL EN UNIDADES VENDIDAS AÑO 5 6]])</calculatedColumnFormula>
    </tableColumn>
    <tableColumn id="114" xr3:uid="{00000000-0010-0000-0300-000072000000}" name="COSTO POR UNIDAD DE PRODUCTO (6)" dataDxfId="810">
      <calculatedColumnFormula>IF(Tabla1[[#This Row],[CANTIDADES A UTILIZAR  AÑO 1 6]]=0,0,Tabla1[[#This Row],[CANTIDADES A UTILIZAR  AÑO 1 6]]*1/Tabla1[[#This Row],[UNIDADES PRODUCIDAS AÑO 1 6]])</calculatedColumnFormula>
    </tableColumn>
    <tableColumn id="115" xr3:uid="{00000000-0010-0000-0300-000073000000}" name="COSTO UNITARIO AÑO 2 6" dataDxfId="809">
      <calculatedColumnFormula>$D$21*(1+BASES!$E$14)</calculatedColumnFormula>
    </tableColumn>
    <tableColumn id="116" xr3:uid="{00000000-0010-0000-0300-000074000000}" name="COSTO UNITARIO AÑO 3 6" dataDxfId="808">
      <calculatedColumnFormula>Tabla1[[#This Row],[COSTO UNITARIO AÑO 2 6]]*(1+BASES!$F$14)</calculatedColumnFormula>
    </tableColumn>
    <tableColumn id="117" xr3:uid="{00000000-0010-0000-0300-000075000000}" name="COSTO UNITARIO AÑO 4 6 " dataDxfId="807">
      <calculatedColumnFormula>Tabla1[[#This Row],[COSTO UNITARIO AÑO 3 6]]*(1+BASES!$G$14)</calculatedColumnFormula>
    </tableColumn>
    <tableColumn id="118" xr3:uid="{00000000-0010-0000-0300-000076000000}" name="COSTO UNITARIO AÑO 5 6" dataDxfId="806">
      <calculatedColumnFormula>Tabla1[[#This Row],[COSTO UNITARIO AÑO 4 6 ]]*(1+BASES!$H$14)</calculatedColumnFormula>
    </tableColumn>
    <tableColumn id="119" xr3:uid="{00000000-0010-0000-0300-000077000000}" name="AÑO 1 6" dataDxfId="805">
      <calculatedColumnFormula>Tabla1[[#This Row],[COSTO POR UNIDAD DE PRODUCTO (6)]]*$D$21*VLOOKUP(Tabla1[[#This Row],[CÓDIGO DEL PRODUCTO Y/O SERVICIO ]],Tabla3[],3,0)</calculatedColumnFormula>
    </tableColumn>
    <tableColumn id="120" xr3:uid="{00000000-0010-0000-0300-000078000000}" name="AÑO 2 6" dataDxfId="804">
      <calculatedColumnFormula>Tabla1[[#This Row],[COSTO POR UNIDAD DE PRODUCTO (6)]]*Tabla1[[#This Row],[COSTO UNITARIO AÑO 2 6]]*VLOOKUP(Tabla1[[#This Row],[CÓDIGO DEL PRODUCTO Y/O SERVICIO ]],Tabla3[],6,0)</calculatedColumnFormula>
    </tableColumn>
    <tableColumn id="121" xr3:uid="{00000000-0010-0000-0300-000079000000}" name="AÑO 3 6" dataDxfId="803">
      <calculatedColumnFormula>Tabla1[[#This Row],[COSTO POR UNIDAD DE PRODUCTO (6)]]*Tabla1[[#This Row],[COSTO UNITARIO AÑO 3 6]]*VLOOKUP(Tabla1[[#This Row],[CÓDIGO DEL PRODUCTO Y/O SERVICIO ]],Tabla3[],10,0)</calculatedColumnFormula>
    </tableColumn>
    <tableColumn id="122" xr3:uid="{00000000-0010-0000-0300-00007A000000}" name="AÑO 4 6" dataDxfId="802">
      <calculatedColumnFormula>Tabla1[[#This Row],[COSTO POR UNIDAD DE PRODUCTO (6)]]*Tabla1[[#This Row],[COSTO UNITARIO AÑO 4 6 ]]*VLOOKUP(Tabla1[[#This Row],[CÓDIGO DEL PRODUCTO Y/O SERVICIO ]],Tabla3[],14,0)</calculatedColumnFormula>
    </tableColumn>
    <tableColumn id="123" xr3:uid="{00000000-0010-0000-0300-00007B000000}" name="AÑO 5 6" dataDxfId="801">
      <calculatedColumnFormula>Tabla1[[#This Row],[COSTO POR UNIDAD DE PRODUCTO (6)]]*Tabla1[[#This Row],[COSTO UNITARIO AÑO 5 6]]*VLOOKUP(Tabla1[[#This Row],[CÓDIGO DEL PRODUCTO Y/O SERVICIO ]],Tabla3[],18,0)</calculatedColumnFormula>
    </tableColumn>
    <tableColumn id="124" xr3:uid="{00000000-0010-0000-0300-00007C000000}" name="UNIDADES PRODUCIDAS AÑO 1 7" dataDxfId="800">
      <calculatedColumnFormula>VLOOKUP(Tabla1[[#This Row],[CÓDIGO DEL PRODUCTO Y/O SERVICIO ]],Tabla3[],3,0)</calculatedColumnFormula>
    </tableColumn>
    <tableColumn id="125" xr3:uid="{00000000-0010-0000-0300-00007D000000}" name="CANTIDADES A UTILIZAR  AÑO 1 7" dataDxfId="799">
      <calculatedColumnFormula>Tabla1[[#This Row],[UNIDADES PRODUCIDAS AÑO 1 7]]*L43</calculatedColumnFormula>
    </tableColumn>
    <tableColumn id="126" xr3:uid="{00000000-0010-0000-0300-00007E000000}" name="CAMBIO PORCENTUAL EN UNIDADES VENDIDAS AÑO 2 7" dataDxfId="798">
      <calculatedColumnFormula>VLOOKUP(Tabla1[[#This Row],[CÓDIGO DEL PRODUCTO Y/O SERVICIO ]],Tabla3[],9,0)</calculatedColumnFormula>
    </tableColumn>
    <tableColumn id="127" xr3:uid="{00000000-0010-0000-0300-00007F000000}" name="CANTIDADES A UTILIZAR  AÑO 2 7" dataDxfId="797">
      <calculatedColumnFormula>Tabla1[[#This Row],[CANTIDADES A UTILIZAR  AÑO 1 7]]*(1+Tabla1[[#This Row],[CAMBIO PORCENTUAL EN UNIDADES VENDIDAS AÑO 2 7]])</calculatedColumnFormula>
    </tableColumn>
    <tableColumn id="128" xr3:uid="{00000000-0010-0000-0300-000080000000}" name="CAMBIO PORCENTUAL EN UNIDADES VENDIDAS AÑO 3 7" dataDxfId="796">
      <calculatedColumnFormula>VLOOKUP(Tabla1[[#This Row],[CÓDIGO DEL PRODUCTO Y/O SERVICIO ]],Tabla3[],13,0)</calculatedColumnFormula>
    </tableColumn>
    <tableColumn id="129" xr3:uid="{00000000-0010-0000-0300-000081000000}" name="CANTIDADES A UTILIZAR  AÑO 3 7 " dataDxfId="795">
      <calculatedColumnFormula>Tabla1[[#This Row],[CANTIDADES A UTILIZAR  AÑO 2 7]]*(1+Tabla1[[#This Row],[CAMBIO PORCENTUAL EN UNIDADES VENDIDAS AÑO 3 7]])</calculatedColumnFormula>
    </tableColumn>
    <tableColumn id="130" xr3:uid="{00000000-0010-0000-0300-000082000000}" name="CAMBIO PORCENTUAL EN UNIDADES VENDIDAS AÑO 4 7" dataDxfId="794">
      <calculatedColumnFormula>VLOOKUP(Tabla1[[#This Row],[CÓDIGO DEL PRODUCTO Y/O SERVICIO ]],Tabla3[],17,0)</calculatedColumnFormula>
    </tableColumn>
    <tableColumn id="131" xr3:uid="{00000000-0010-0000-0300-000083000000}" name="CANTIDADES A UTILIZAR  AÑO 4 7" dataDxfId="793">
      <calculatedColumnFormula>Tabla1[[#This Row],[CANTIDADES A UTILIZAR  AÑO 3 7 ]]*(1+Tabla1[[#This Row],[CAMBIO PORCENTUAL EN UNIDADES VENDIDAS AÑO 4 7]])</calculatedColumnFormula>
    </tableColumn>
    <tableColumn id="132" xr3:uid="{00000000-0010-0000-0300-000084000000}" name="CAMBIO PORCENTUAL EN UNIDADES VENDIDAS AÑO 5 7" dataDxfId="792">
      <calculatedColumnFormula>VLOOKUP(Tabla1[[#This Row],[CÓDIGO DEL PRODUCTO Y/O SERVICIO ]],Tabla3[],21,0)</calculatedColumnFormula>
    </tableColumn>
    <tableColumn id="133" xr3:uid="{00000000-0010-0000-0300-000085000000}" name="CANTIDADES A UTILIZAR AÑO 5 7" dataDxfId="791">
      <calculatedColumnFormula>Tabla1[[#This Row],[CANTIDADES A UTILIZAR  AÑO 4 7]]*(1+Tabla1[[#This Row],[CAMBIO PORCENTUAL EN UNIDADES VENDIDAS AÑO 5 7]])</calculatedColumnFormula>
    </tableColumn>
    <tableColumn id="134" xr3:uid="{00000000-0010-0000-0300-000086000000}" name="COSTO POR UNIDAD DE PRODUCTO (7)" dataDxfId="790">
      <calculatedColumnFormula>IF(Tabla1[[#This Row],[CANTIDADES A UTILIZAR  AÑO 1 7]]=0,0,Tabla1[[#This Row],[CANTIDADES A UTILIZAR  AÑO 1 7]]*1/Tabla1[[#This Row],[UNIDADES PRODUCIDAS AÑO 1 7]])</calculatedColumnFormula>
    </tableColumn>
    <tableColumn id="135" xr3:uid="{00000000-0010-0000-0300-000087000000}" name="COSTO UNITARIO AÑO 2 7" dataDxfId="789">
      <calculatedColumnFormula>$D$22*(1+BASES!$E$14)</calculatedColumnFormula>
    </tableColumn>
    <tableColumn id="136" xr3:uid="{00000000-0010-0000-0300-000088000000}" name="COSTO UNITARIO AÑO 3 7" dataDxfId="788">
      <calculatedColumnFormula>Tabla1[[#This Row],[COSTO UNITARIO AÑO 2 7]]*(1+BASES!$F$14)</calculatedColumnFormula>
    </tableColumn>
    <tableColumn id="137" xr3:uid="{00000000-0010-0000-0300-000089000000}" name="COSTO UNITARIO AÑO 4 7" dataDxfId="787">
      <calculatedColumnFormula>Tabla1[[#This Row],[COSTO UNITARIO AÑO 3 7]]*(1+BASES!$G$14)</calculatedColumnFormula>
    </tableColumn>
    <tableColumn id="138" xr3:uid="{00000000-0010-0000-0300-00008A000000}" name="COSTO UNITARIO AÑO 5 7" dataDxfId="786">
      <calculatedColumnFormula>Tabla1[[#This Row],[COSTO UNITARIO AÑO 4 7]]*(1+BASES!$H$14)</calculatedColumnFormula>
    </tableColumn>
    <tableColumn id="139" xr3:uid="{00000000-0010-0000-0300-00008B000000}" name="AÑO 1 7" dataDxfId="785">
      <calculatedColumnFormula>Tabla1[[#This Row],[COSTO POR UNIDAD DE PRODUCTO (7)]]*$D$22*VLOOKUP(Tabla1[[#This Row],[CÓDIGO DEL PRODUCTO Y/O SERVICIO ]],Tabla3[],3,0)</calculatedColumnFormula>
    </tableColumn>
    <tableColumn id="140" xr3:uid="{00000000-0010-0000-0300-00008C000000}" name="AÑO 2 7" dataDxfId="784">
      <calculatedColumnFormula>Tabla1[[#This Row],[COSTO POR UNIDAD DE PRODUCTO (7)]]*Tabla1[[#This Row],[COSTO UNITARIO AÑO 2 7]]*VLOOKUP(Tabla1[[#This Row],[CÓDIGO DEL PRODUCTO Y/O SERVICIO ]],Tabla3[],6,0)</calculatedColumnFormula>
    </tableColumn>
    <tableColumn id="141" xr3:uid="{00000000-0010-0000-0300-00008D000000}" name="AÑO 3 7" dataDxfId="783">
      <calculatedColumnFormula>Tabla1[[#This Row],[COSTO POR UNIDAD DE PRODUCTO (7)]]*Tabla1[[#This Row],[COSTO UNITARIO AÑO 3 7]]*VLOOKUP(Tabla1[[#This Row],[CÓDIGO DEL PRODUCTO Y/O SERVICIO ]],Tabla3[],10,0)</calculatedColumnFormula>
    </tableColumn>
    <tableColumn id="142" xr3:uid="{00000000-0010-0000-0300-00008E000000}" name="AÑO 4 7 " dataDxfId="782">
      <calculatedColumnFormula>Tabla1[[#This Row],[COSTO POR UNIDAD DE PRODUCTO (7)]]*Tabla1[[#This Row],[COSTO UNITARIO AÑO 4 7]]*VLOOKUP(Tabla1[[#This Row],[CÓDIGO DEL PRODUCTO Y/O SERVICIO ]],Tabla3[],14,0)</calculatedColumnFormula>
    </tableColumn>
    <tableColumn id="143" xr3:uid="{00000000-0010-0000-0300-00008F000000}" name="AÑO 5 7" dataDxfId="781">
      <calculatedColumnFormula>Tabla1[[#This Row],[COSTO POR UNIDAD DE PRODUCTO (7)]]*Tabla1[[#This Row],[COSTO UNITARIO AÑO 5 7]]*VLOOKUP(Tabla1[[#This Row],[CÓDIGO DEL PRODUCTO Y/O SERVICIO ]],Tabla3[],18,0)</calculatedColumnFormula>
    </tableColumn>
    <tableColumn id="144" xr3:uid="{00000000-0010-0000-0300-000090000000}" name="UNIDADES PRODUCIDAS AÑO 1 8" dataDxfId="780">
      <calculatedColumnFormula>VLOOKUP(Tabla1[[#This Row],[CÓDIGO DEL PRODUCTO Y/O SERVICIO ]],Tabla3[],3,0)</calculatedColumnFormula>
    </tableColumn>
    <tableColumn id="145" xr3:uid="{00000000-0010-0000-0300-000091000000}" name="CANTIDADES A UTILIZAR  AÑO 1 8" dataDxfId="779">
      <calculatedColumnFormula>Tabla1[[#This Row],[UNIDADES PRODUCIDAS AÑO 1 8]]*M43</calculatedColumnFormula>
    </tableColumn>
    <tableColumn id="146" xr3:uid="{00000000-0010-0000-0300-000092000000}" name="CAMBIO PORCENTUAL EN UNIDADES VENDIDAS AÑO 2 8" dataDxfId="778">
      <calculatedColumnFormula>VLOOKUP(Tabla1[[#This Row],[CÓDIGO DEL PRODUCTO Y/O SERVICIO ]],Tabla3[],9,0)</calculatedColumnFormula>
    </tableColumn>
    <tableColumn id="147" xr3:uid="{00000000-0010-0000-0300-000093000000}" name="CANTIDADES A UTILIZAR  AÑO 2 8" dataDxfId="777">
      <calculatedColumnFormula>Tabla1[[#This Row],[CANTIDADES A UTILIZAR  AÑO 1 8]]*(1+Tabla1[[#This Row],[CAMBIO PORCENTUAL EN UNIDADES VENDIDAS AÑO 2 8]])</calculatedColumnFormula>
    </tableColumn>
    <tableColumn id="148" xr3:uid="{00000000-0010-0000-0300-000094000000}" name="CAMBIO PORCENTUAL EN UNIDADES VENDIDAS AÑO 3 8" dataDxfId="776">
      <calculatedColumnFormula>VLOOKUP(Tabla1[[#This Row],[CÓDIGO DEL PRODUCTO Y/O SERVICIO ]],Tabla3[],13,0)</calculatedColumnFormula>
    </tableColumn>
    <tableColumn id="149" xr3:uid="{00000000-0010-0000-0300-000095000000}" name="CANTIDADES A UTILIZAR  AÑO 3 8" dataDxfId="775">
      <calculatedColumnFormula>Tabla1[[#This Row],[CANTIDADES A UTILIZAR  AÑO 2 8]]*(1+Tabla1[[#This Row],[CAMBIO PORCENTUAL EN UNIDADES VENDIDAS AÑO 3 8]])</calculatedColumnFormula>
    </tableColumn>
    <tableColumn id="150" xr3:uid="{00000000-0010-0000-0300-000096000000}" name="CAMBIO PORCENTUAL EN UNIDADES VENDIDAS AÑO 4 8" dataDxfId="774">
      <calculatedColumnFormula>VLOOKUP(Tabla1[[#This Row],[CÓDIGO DEL PRODUCTO Y/O SERVICIO ]],Tabla3[],17,0)</calculatedColumnFormula>
    </tableColumn>
    <tableColumn id="151" xr3:uid="{00000000-0010-0000-0300-000097000000}" name="CANTIDADES A UTILIZAR  AÑO 4 8" dataDxfId="773">
      <calculatedColumnFormula>Tabla1[[#This Row],[CANTIDADES A UTILIZAR  AÑO 3 8]]*(1+Tabla1[[#This Row],[CAMBIO PORCENTUAL EN UNIDADES VENDIDAS AÑO 4 8]])</calculatedColumnFormula>
    </tableColumn>
    <tableColumn id="152" xr3:uid="{00000000-0010-0000-0300-000098000000}" name="CAMBIO PORCENTUAL EN UNIDADES VENDIDAS AÑO 5 8" dataDxfId="772">
      <calculatedColumnFormula>VLOOKUP(Tabla1[[#This Row],[CÓDIGO DEL PRODUCTO Y/O SERVICIO ]],Tabla3[],21,0)</calculatedColumnFormula>
    </tableColumn>
    <tableColumn id="153" xr3:uid="{00000000-0010-0000-0300-000099000000}" name="CANTIDADES A UTILIZAR AÑO 5 8" dataDxfId="771">
      <calculatedColumnFormula>Tabla1[[#This Row],[CANTIDADES A UTILIZAR  AÑO 4 8]]*(1+Tabla1[[#This Row],[CAMBIO PORCENTUAL EN UNIDADES VENDIDAS AÑO 5 8]])</calculatedColumnFormula>
    </tableColumn>
    <tableColumn id="154" xr3:uid="{00000000-0010-0000-0300-00009A000000}" name="COSTO POR UNIDAD DE PRODUCTO (8)" dataDxfId="770">
      <calculatedColumnFormula>IF(Tabla1[[#This Row],[CANTIDADES A UTILIZAR  AÑO 1 8]]=0,0,Tabla1[[#This Row],[CANTIDADES A UTILIZAR  AÑO 1 8]]*1/Tabla1[[#This Row],[UNIDADES PRODUCIDAS AÑO 1 8]])</calculatedColumnFormula>
    </tableColumn>
    <tableColumn id="155" xr3:uid="{00000000-0010-0000-0300-00009B000000}" name="COSTO UNITARIO AÑO 2 8" dataDxfId="769">
      <calculatedColumnFormula>$D$23*(1+BASES!$E$14)</calculatedColumnFormula>
    </tableColumn>
    <tableColumn id="156" xr3:uid="{00000000-0010-0000-0300-00009C000000}" name="COSTO UNITARIO AÑO 3 8" dataDxfId="768">
      <calculatedColumnFormula>Tabla1[[#This Row],[COSTO UNITARIO AÑO 2 8]]*(1+BASES!$F$14)</calculatedColumnFormula>
    </tableColumn>
    <tableColumn id="157" xr3:uid="{00000000-0010-0000-0300-00009D000000}" name="COSTO UNITARIO AÑO 4 8" dataDxfId="767">
      <calculatedColumnFormula>Tabla1[[#This Row],[COSTO UNITARIO AÑO 3 8]]*(1+BASES!$G$14)</calculatedColumnFormula>
    </tableColumn>
    <tableColumn id="158" xr3:uid="{00000000-0010-0000-0300-00009E000000}" name="COSTO UNITARIO AÑO 5 8" dataDxfId="766">
      <calculatedColumnFormula>Tabla1[[#This Row],[COSTO UNITARIO AÑO 4 8]]*(1+BASES!$H$14)</calculatedColumnFormula>
    </tableColumn>
    <tableColumn id="159" xr3:uid="{00000000-0010-0000-0300-00009F000000}" name="AÑO 1 8" dataDxfId="765">
      <calculatedColumnFormula>Tabla1[[#This Row],[COSTO POR UNIDAD DE PRODUCTO (8)]]*$D$23*VLOOKUP(Tabla1[[#This Row],[CÓDIGO DEL PRODUCTO Y/O SERVICIO ]],Tabla3[],3,0)</calculatedColumnFormula>
    </tableColumn>
    <tableColumn id="160" xr3:uid="{00000000-0010-0000-0300-0000A0000000}" name="AÑO 2 8" dataDxfId="764">
      <calculatedColumnFormula>Tabla1[[#This Row],[COSTO POR UNIDAD DE PRODUCTO (8)]]*Tabla1[[#This Row],[COSTO UNITARIO AÑO 2 8]]*VLOOKUP(Tabla1[[#This Row],[CÓDIGO DEL PRODUCTO Y/O SERVICIO ]],Tabla3[],6,0)</calculatedColumnFormula>
    </tableColumn>
    <tableColumn id="161" xr3:uid="{00000000-0010-0000-0300-0000A1000000}" name="AÑO 3 8" dataDxfId="763">
      <calculatedColumnFormula>Tabla1[[#This Row],[COSTO POR UNIDAD DE PRODUCTO (8)]]*Tabla1[[#This Row],[COSTO UNITARIO AÑO 3 8]]*VLOOKUP(Tabla1[[#This Row],[CÓDIGO DEL PRODUCTO Y/O SERVICIO ]],Tabla3[],10,0)</calculatedColumnFormula>
    </tableColumn>
    <tableColumn id="162" xr3:uid="{00000000-0010-0000-0300-0000A2000000}" name="AÑO 4 8" dataDxfId="762">
      <calculatedColumnFormula>Tabla1[[#This Row],[COSTO POR UNIDAD DE PRODUCTO (8)]]*Tabla1[[#This Row],[COSTO UNITARIO AÑO 4 8]]*VLOOKUP(Tabla1[[#This Row],[CÓDIGO DEL PRODUCTO Y/O SERVICIO ]],Tabla3[],14,0)</calculatedColumnFormula>
    </tableColumn>
    <tableColumn id="163" xr3:uid="{00000000-0010-0000-0300-0000A3000000}" name="AÑO 5 8" dataDxfId="761">
      <calculatedColumnFormula>Tabla1[[#This Row],[COSTO POR UNIDAD DE PRODUCTO (8)]]*Tabla1[[#This Row],[COSTO UNITARIO AÑO 5 8]]*VLOOKUP(Tabla1[[#This Row],[CÓDIGO DEL PRODUCTO Y/O SERVICIO ]],Tabla3[],18,0)</calculatedColumnFormula>
    </tableColumn>
    <tableColumn id="164" xr3:uid="{00000000-0010-0000-0300-0000A4000000}" name="UNIDADES PRODUCIDAS AÑO 1 9 " dataDxfId="760">
      <calculatedColumnFormula>VLOOKUP(Tabla1[[#This Row],[CÓDIGO DEL PRODUCTO Y/O SERVICIO ]],Tabla3[],3,0)</calculatedColumnFormula>
    </tableColumn>
    <tableColumn id="165" xr3:uid="{00000000-0010-0000-0300-0000A5000000}" name="CANTIDADES A UTILIZAR  AÑO 1 9" dataDxfId="759">
      <calculatedColumnFormula>Tabla1[[#This Row],[UNIDADES PRODUCIDAS AÑO 1 9 ]]*N43</calculatedColumnFormula>
    </tableColumn>
    <tableColumn id="166" xr3:uid="{00000000-0010-0000-0300-0000A6000000}" name="CAMBIO PORCENTUAL EN UNIDADES VENDIDAS AÑO 2 9" dataDxfId="758">
      <calculatedColumnFormula>VLOOKUP(Tabla1[[#This Row],[CÓDIGO DEL PRODUCTO Y/O SERVICIO ]],Tabla3[],9,0)</calculatedColumnFormula>
    </tableColumn>
    <tableColumn id="167" xr3:uid="{00000000-0010-0000-0300-0000A7000000}" name="CANTIDADES A UTILIZAR  AÑO 2 9" dataDxfId="757">
      <calculatedColumnFormula>Tabla1[[#This Row],[CANTIDADES A UTILIZAR  AÑO 1 9]]*(1+Tabla1[[#This Row],[CAMBIO PORCENTUAL EN UNIDADES VENDIDAS AÑO 2 9]])</calculatedColumnFormula>
    </tableColumn>
    <tableColumn id="168" xr3:uid="{00000000-0010-0000-0300-0000A8000000}" name="CAMBIO PORCENTUAL EN UNIDADES VENDIDAS AÑO 3 9" dataDxfId="756">
      <calculatedColumnFormula>VLOOKUP(Tabla1[[#This Row],[CÓDIGO DEL PRODUCTO Y/O SERVICIO ]],Tabla3[],13,0)</calculatedColumnFormula>
    </tableColumn>
    <tableColumn id="169" xr3:uid="{00000000-0010-0000-0300-0000A9000000}" name="CANTIDADES A UTILIZAR  AÑO 3 9" dataDxfId="755">
      <calculatedColumnFormula>Tabla1[[#This Row],[CANTIDADES A UTILIZAR  AÑO 2 9]]*(1+Tabla1[[#This Row],[CAMBIO PORCENTUAL EN UNIDADES VENDIDAS AÑO 3 9]])</calculatedColumnFormula>
    </tableColumn>
    <tableColumn id="170" xr3:uid="{00000000-0010-0000-0300-0000AA000000}" name="CAMBIO PORCENTUAL EN UNIDADES VENDIDAS AÑO 4 9 " dataDxfId="754">
      <calculatedColumnFormula>VLOOKUP(Tabla1[[#This Row],[CÓDIGO DEL PRODUCTO Y/O SERVICIO ]],Tabla3[],17,0)</calculatedColumnFormula>
    </tableColumn>
    <tableColumn id="171" xr3:uid="{00000000-0010-0000-0300-0000AB000000}" name="CANTIDADES A UTILIZAR  AÑO 4  9" dataDxfId="753">
      <calculatedColumnFormula>Tabla1[[#This Row],[CANTIDADES A UTILIZAR  AÑO 3 9]]*(1+Tabla1[[#This Row],[CAMBIO PORCENTUAL EN UNIDADES VENDIDAS AÑO 4 9 ]])</calculatedColumnFormula>
    </tableColumn>
    <tableColumn id="172" xr3:uid="{00000000-0010-0000-0300-0000AC000000}" name="CAMBIO PORCENTUAL EN UNIDADES VENDIDAS AÑO 5 9" dataDxfId="752">
      <calculatedColumnFormula>VLOOKUP(Tabla1[[#This Row],[CÓDIGO DEL PRODUCTO Y/O SERVICIO ]],Tabla3[],21,0)</calculatedColumnFormula>
    </tableColumn>
    <tableColumn id="173" xr3:uid="{00000000-0010-0000-0300-0000AD000000}" name="CANTIDADES A UTILIZAR AÑO 5 9" dataDxfId="751">
      <calculatedColumnFormula>Tabla1[[#This Row],[CANTIDADES A UTILIZAR  AÑO 4  9]]*(1+Tabla1[[#This Row],[CAMBIO PORCENTUAL EN UNIDADES VENDIDAS AÑO 5 9]])</calculatedColumnFormula>
    </tableColumn>
    <tableColumn id="174" xr3:uid="{00000000-0010-0000-0300-0000AE000000}" name="COSTO POR UNIDAD DE PRODUCTO (9)" dataDxfId="750">
      <calculatedColumnFormula>IF(Tabla1[[#This Row],[CANTIDADES A UTILIZAR  AÑO 1 9]]=0,0,Tabla1[[#This Row],[CANTIDADES A UTILIZAR  AÑO 1 9]]*1/Tabla1[[#This Row],[UNIDADES PRODUCIDAS AÑO 1 9 ]])</calculatedColumnFormula>
    </tableColumn>
    <tableColumn id="175" xr3:uid="{00000000-0010-0000-0300-0000AF000000}" name="COSTO UNITARIO AÑO 2 9" dataDxfId="749">
      <calculatedColumnFormula>$D$24*(1+BASES!$E$14)</calculatedColumnFormula>
    </tableColumn>
    <tableColumn id="176" xr3:uid="{00000000-0010-0000-0300-0000B0000000}" name="COSTO UNITARIO AÑO 3 9" dataDxfId="748">
      <calculatedColumnFormula>Tabla1[[#This Row],[COSTO UNITARIO AÑO 2 9]]*(1+BASES!$F$14)</calculatedColumnFormula>
    </tableColumn>
    <tableColumn id="177" xr3:uid="{00000000-0010-0000-0300-0000B1000000}" name="COSTO UNITARIO AÑO 4 9" dataDxfId="747">
      <calculatedColumnFormula>Tabla1[[#This Row],[COSTO UNITARIO AÑO 3 9]]*(1+BASES!$G$14)</calculatedColumnFormula>
    </tableColumn>
    <tableColumn id="178" xr3:uid="{00000000-0010-0000-0300-0000B2000000}" name="COSTO UNITARIO AÑO 5 9" dataDxfId="746">
      <calculatedColumnFormula>Tabla1[[#This Row],[COSTO UNITARIO AÑO 4 9]]*(1+BASES!$H$14)</calculatedColumnFormula>
    </tableColumn>
    <tableColumn id="179" xr3:uid="{00000000-0010-0000-0300-0000B3000000}" name="AÑO 1 9" dataDxfId="745">
      <calculatedColumnFormula>Tabla1[[#This Row],[COSTO POR UNIDAD DE PRODUCTO (9)]]*$D$24*VLOOKUP(Tabla1[[#This Row],[CÓDIGO DEL PRODUCTO Y/O SERVICIO ]],Tabla3[],3,0)</calculatedColumnFormula>
    </tableColumn>
    <tableColumn id="180" xr3:uid="{00000000-0010-0000-0300-0000B4000000}" name="AÑO 2 9 " dataDxfId="744">
      <calculatedColumnFormula>Tabla1[[#This Row],[COSTO POR UNIDAD DE PRODUCTO (9)]]*Tabla1[[#This Row],[COSTO UNITARIO AÑO 2 9]]*VLOOKUP(Tabla1[[#This Row],[CÓDIGO DEL PRODUCTO Y/O SERVICIO ]],Tabla3[],6,0)</calculatedColumnFormula>
    </tableColumn>
    <tableColumn id="181" xr3:uid="{00000000-0010-0000-0300-0000B5000000}" name="AÑO 3 9" dataDxfId="743">
      <calculatedColumnFormula>Tabla1[[#This Row],[COSTO POR UNIDAD DE PRODUCTO (9)]]*Tabla1[[#This Row],[COSTO UNITARIO AÑO 3 9]]*VLOOKUP(Tabla1[[#This Row],[CÓDIGO DEL PRODUCTO Y/O SERVICIO ]],Tabla3[],10,0)</calculatedColumnFormula>
    </tableColumn>
    <tableColumn id="182" xr3:uid="{00000000-0010-0000-0300-0000B6000000}" name="AÑO 4 9 " dataDxfId="742">
      <calculatedColumnFormula>Tabla1[[#This Row],[COSTO POR UNIDAD DE PRODUCTO (9)]]*Tabla1[[#This Row],[COSTO UNITARIO AÑO 4 9]]*VLOOKUP(Tabla1[[#This Row],[CÓDIGO DEL PRODUCTO Y/O SERVICIO ]],Tabla3[],14,0)</calculatedColumnFormula>
    </tableColumn>
    <tableColumn id="183" xr3:uid="{00000000-0010-0000-0300-0000B7000000}" name="AÑO 5 9 " dataDxfId="741">
      <calculatedColumnFormula>Tabla1[[#This Row],[COSTO POR UNIDAD DE PRODUCTO (9)]]*Tabla1[[#This Row],[COSTO UNITARIO AÑO 5 9]]*VLOOKUP(Tabla1[[#This Row],[CÓDIGO DEL PRODUCTO Y/O SERVICIO ]],Tabla3[],18,0)</calculatedColumnFormula>
    </tableColumn>
    <tableColumn id="184" xr3:uid="{00000000-0010-0000-0300-0000B8000000}" name="UNIDADES PRODUCIDAS AÑO 1 10" dataDxfId="740">
      <calculatedColumnFormula>VLOOKUP(Tabla1[[#This Row],[CÓDIGO DEL PRODUCTO Y/O SERVICIO ]],Tabla3[],3,0)</calculatedColumnFormula>
    </tableColumn>
    <tableColumn id="185" xr3:uid="{00000000-0010-0000-0300-0000B9000000}" name="CANTIDADES A UTILIZAR  AÑO 1 10" dataDxfId="739">
      <calculatedColumnFormula>Tabla1[[#This Row],[UNIDADES PRODUCIDAS AÑO 1 10]]*O43</calculatedColumnFormula>
    </tableColumn>
    <tableColumn id="186" xr3:uid="{00000000-0010-0000-0300-0000BA000000}" name="CAMBIO PORCENTUAL EN UNIDADES VENDIDAS AÑO 2 10 " dataDxfId="738">
      <calculatedColumnFormula>VLOOKUP(Tabla1[[#This Row],[CÓDIGO DEL PRODUCTO Y/O SERVICIO ]],Tabla3[],9,0)</calculatedColumnFormula>
    </tableColumn>
    <tableColumn id="187" xr3:uid="{00000000-0010-0000-0300-0000BB000000}" name="CANTIDADES A UTILIZAR  AÑO 2 10" dataDxfId="737">
      <calculatedColumnFormula>Tabla1[[#This Row],[CANTIDADES A UTILIZAR  AÑO 1 10]]*(1+Tabla1[[#This Row],[CAMBIO PORCENTUAL EN UNIDADES VENDIDAS AÑO 2 10 ]])</calculatedColumnFormula>
    </tableColumn>
    <tableColumn id="188" xr3:uid="{00000000-0010-0000-0300-0000BC000000}" name="CAMBIO PORCENTUAL EN UNIDADES VENDIDAS AÑO 3 10" dataDxfId="736">
      <calculatedColumnFormula>VLOOKUP(Tabla1[[#This Row],[CÓDIGO DEL PRODUCTO Y/O SERVICIO ]],Tabla3[],13,0)</calculatedColumnFormula>
    </tableColumn>
    <tableColumn id="189" xr3:uid="{00000000-0010-0000-0300-0000BD000000}" name="CANTIDADES A UTILIZAR AÑO 3 10 " dataDxfId="735">
      <calculatedColumnFormula>Tabla1[[#This Row],[CANTIDADES A UTILIZAR  AÑO 2 10]]*(1+Tabla1[[#This Row],[CAMBIO PORCENTUAL EN UNIDADES VENDIDAS AÑO 3 10]])</calculatedColumnFormula>
    </tableColumn>
    <tableColumn id="190" xr3:uid="{00000000-0010-0000-0300-0000BE000000}" name="CAMBIO PORCENTUAL EN UNIDADES VENDIDAS AÑO 4 10" dataDxfId="734">
      <calculatedColumnFormula>VLOOKUP(Tabla1[[#This Row],[CÓDIGO DEL PRODUCTO Y/O SERVICIO ]],Tabla3[],17,0)</calculatedColumnFormula>
    </tableColumn>
    <tableColumn id="191" xr3:uid="{00000000-0010-0000-0300-0000BF000000}" name="CANTIDADES A UTILIZAR  AÑO 4 10 " dataDxfId="733">
      <calculatedColumnFormula>Tabla1[[#This Row],[CANTIDADES A UTILIZAR AÑO 3 10 ]]*(1+Tabla1[[#This Row],[CAMBIO PORCENTUAL EN UNIDADES VENDIDAS AÑO 4 10]])</calculatedColumnFormula>
    </tableColumn>
    <tableColumn id="192" xr3:uid="{00000000-0010-0000-0300-0000C0000000}" name="CAMBIO PORCENTUAL EN UNIDADES VENDIDAS AÑO 5 10" dataDxfId="732">
      <calculatedColumnFormula>VLOOKUP(Tabla1[[#This Row],[CÓDIGO DEL PRODUCTO Y/O SERVICIO ]],Tabla3[],21,0)</calculatedColumnFormula>
    </tableColumn>
    <tableColumn id="193" xr3:uid="{00000000-0010-0000-0300-0000C1000000}" name="CANTIDADES A UTILIZAR AÑO 5 10" dataDxfId="731">
      <calculatedColumnFormula>Tabla1[[#This Row],[CANTIDADES A UTILIZAR  AÑO 4 10 ]]*(1+Tabla1[[#This Row],[CAMBIO PORCENTUAL EN UNIDADES VENDIDAS AÑO 5 10]])</calculatedColumnFormula>
    </tableColumn>
    <tableColumn id="194" xr3:uid="{00000000-0010-0000-0300-0000C2000000}" name="COSTO POR UNIDAD DE PRODUCTO (10)" dataDxfId="730">
      <calculatedColumnFormula>IF(Tabla1[[#This Row],[CANTIDADES A UTILIZAR  AÑO 1 10]]=0,0,Tabla1[[#This Row],[CANTIDADES A UTILIZAR  AÑO 1 10]]*1/Tabla1[[#This Row],[UNIDADES PRODUCIDAS AÑO 1 10]])</calculatedColumnFormula>
    </tableColumn>
    <tableColumn id="195" xr3:uid="{00000000-0010-0000-0300-0000C3000000}" name="COSTO UNITARIO AÑO 2 10 " dataDxfId="729">
      <calculatedColumnFormula>$D$25*(1+BASES!$E$14)</calculatedColumnFormula>
    </tableColumn>
    <tableColumn id="196" xr3:uid="{00000000-0010-0000-0300-0000C4000000}" name="COSTO UNITARIO AÑO 3 10" dataDxfId="728">
      <calculatedColumnFormula>Tabla1[[#This Row],[COSTO UNITARIO AÑO 2 10 ]]*(1+BASES!$F$14)</calculatedColumnFormula>
    </tableColumn>
    <tableColumn id="197" xr3:uid="{00000000-0010-0000-0300-0000C5000000}" name="COSTO UNITARIO AÑO 4 10" dataDxfId="727">
      <calculatedColumnFormula>Tabla1[[#This Row],[COSTO UNITARIO AÑO 3 10]]*(1+BASES!$G$14)</calculatedColumnFormula>
    </tableColumn>
    <tableColumn id="198" xr3:uid="{00000000-0010-0000-0300-0000C6000000}" name="COSTO UNITARIO AÑO 5 10 " dataDxfId="726">
      <calculatedColumnFormula>Tabla1[[#This Row],[COSTO UNITARIO AÑO 4 10]]*(1+BASES!$H$14)</calculatedColumnFormula>
    </tableColumn>
    <tableColumn id="199" xr3:uid="{00000000-0010-0000-0300-0000C7000000}" name="AÑO 1 10 " dataDxfId="725">
      <calculatedColumnFormula>Tabla1[[#This Row],[COSTO POR UNIDAD DE PRODUCTO (10)]]*$D$25*VLOOKUP(Tabla1[[#This Row],[CÓDIGO DEL PRODUCTO Y/O SERVICIO ]],Tabla3[],3,0)</calculatedColumnFormula>
    </tableColumn>
    <tableColumn id="200" xr3:uid="{00000000-0010-0000-0300-0000C8000000}" name="AÑO 2 10 " dataDxfId="724">
      <calculatedColumnFormula>Tabla1[[#This Row],[COSTO POR UNIDAD DE PRODUCTO (10)]]*Tabla1[[#This Row],[COSTO UNITARIO AÑO 2 10 ]]*VLOOKUP(Tabla1[[#This Row],[CÓDIGO DEL PRODUCTO Y/O SERVICIO ]],Tabla3[],6,0)</calculatedColumnFormula>
    </tableColumn>
    <tableColumn id="201" xr3:uid="{00000000-0010-0000-0300-0000C9000000}" name="AÑO 3 10 " dataDxfId="723">
      <calculatedColumnFormula>Tabla1[[#This Row],[COSTO POR UNIDAD DE PRODUCTO (10)]]*Tabla1[[#This Row],[COSTO UNITARIO AÑO 3 10]]*VLOOKUP(Tabla1[[#This Row],[CÓDIGO DEL PRODUCTO Y/O SERVICIO ]],Tabla3[],10,0)</calculatedColumnFormula>
    </tableColumn>
    <tableColumn id="202" xr3:uid="{00000000-0010-0000-0300-0000CA000000}" name="AÑO 4 10 " dataDxfId="722">
      <calculatedColumnFormula>Tabla1[[#This Row],[COSTO POR UNIDAD DE PRODUCTO (10)]]*Tabla1[[#This Row],[COSTO UNITARIO AÑO 4 10]]*VLOOKUP(Tabla1[[#This Row],[CÓDIGO DEL PRODUCTO Y/O SERVICIO ]],Tabla3[],14,0)</calculatedColumnFormula>
    </tableColumn>
    <tableColumn id="203" xr3:uid="{00000000-0010-0000-0300-0000CB000000}" name="AÑO 5 10 " dataDxfId="721">
      <calculatedColumnFormula>Tabla1[[#This Row],[COSTO POR UNIDAD DE PRODUCTO (10)]]*Tabla1[[#This Row],[COSTO UNITARIO AÑO 5 10 ]]*VLOOKUP(Tabla1[[#This Row],[CÓDIGO DEL PRODUCTO Y/O SERVICIO ]],Tabla3[],18,0)</calculatedColumnFormula>
    </tableColumn>
    <tableColumn id="204" xr3:uid="{00000000-0010-0000-0300-0000CC000000}" name="UNIDADES PRODUCIDAS AÑO 1 11" dataDxfId="720">
      <calculatedColumnFormula>VLOOKUP(Tabla1[[#This Row],[CÓDIGO DEL PRODUCTO Y/O SERVICIO ]],Tabla3[],3,0)</calculatedColumnFormula>
    </tableColumn>
    <tableColumn id="205" xr3:uid="{00000000-0010-0000-0300-0000CD000000}" name="CANTIDADES A UTILIZAR  AÑO 1 11 " dataDxfId="719">
      <calculatedColumnFormula>Tabla1[[#This Row],[UNIDADES PRODUCIDAS AÑO 1 11]]*P43</calculatedColumnFormula>
    </tableColumn>
    <tableColumn id="206" xr3:uid="{00000000-0010-0000-0300-0000CE000000}" name="CAMBIO PORCENTUAL EN UNIDADES VENDIDAS AÑO 2 11 " dataDxfId="718">
      <calculatedColumnFormula>VLOOKUP(Tabla1[[#This Row],[CÓDIGO DEL PRODUCTO Y/O SERVICIO ]],Tabla3[],9,0)</calculatedColumnFormula>
    </tableColumn>
    <tableColumn id="207" xr3:uid="{00000000-0010-0000-0300-0000CF000000}" name="CANTIDADES A UTILIZAR  AÑO 2 11 " dataDxfId="717">
      <calculatedColumnFormula>Tabla1[[#This Row],[CANTIDADES A UTILIZAR  AÑO 1 11 ]]*(1+Tabla1[[#This Row],[CAMBIO PORCENTUAL EN UNIDADES VENDIDAS AÑO 2 11 ]])</calculatedColumnFormula>
    </tableColumn>
    <tableColumn id="208" xr3:uid="{00000000-0010-0000-0300-0000D0000000}" name="CAMBIO PORCENTUAL EN UNIDADES VENDIDAS AÑO 3 11" dataDxfId="716">
      <calculatedColumnFormula>VLOOKUP(Tabla1[[#This Row],[CÓDIGO DEL PRODUCTO Y/O SERVICIO ]],Tabla3[],13,0)</calculatedColumnFormula>
    </tableColumn>
    <tableColumn id="209" xr3:uid="{00000000-0010-0000-0300-0000D1000000}" name="CANTIDADES A UTILIZAR  AÑO 3 11" dataDxfId="715">
      <calculatedColumnFormula>Tabla1[[#This Row],[CANTIDADES A UTILIZAR  AÑO 2 11 ]]*(1+Tabla1[[#This Row],[CAMBIO PORCENTUAL EN UNIDADES VENDIDAS AÑO 3 11]])</calculatedColumnFormula>
    </tableColumn>
    <tableColumn id="210" xr3:uid="{00000000-0010-0000-0300-0000D2000000}" name="CAMBIO PORCENTUAL EN UNIDADES VENDIDAS AÑO 4 11" dataDxfId="714">
      <calculatedColumnFormula>VLOOKUP(Tabla1[[#This Row],[CÓDIGO DEL PRODUCTO Y/O SERVICIO ]],Tabla3[],17,0)</calculatedColumnFormula>
    </tableColumn>
    <tableColumn id="211" xr3:uid="{00000000-0010-0000-0300-0000D3000000}" name="CANTIDADES A UTILIZAR  AÑO 4 11" dataDxfId="713">
      <calculatedColumnFormula>Tabla1[[#This Row],[CANTIDADES A UTILIZAR  AÑO 3 11]]*(1+Tabla1[[#This Row],[CAMBIO PORCENTUAL EN UNIDADES VENDIDAS AÑO 4 11]])</calculatedColumnFormula>
    </tableColumn>
    <tableColumn id="212" xr3:uid="{00000000-0010-0000-0300-0000D4000000}" name="CAMBIO PORCENTUAL EN UNIDADES VENDIDAS AÑO 5 11 " dataDxfId="712">
      <calculatedColumnFormula>VLOOKUP(Tabla1[[#This Row],[CÓDIGO DEL PRODUCTO Y/O SERVICIO ]],Tabla3[],21,0)</calculatedColumnFormula>
    </tableColumn>
    <tableColumn id="213" xr3:uid="{00000000-0010-0000-0300-0000D5000000}" name="CANTIDADES A UTILIZAR AÑO 5 11" dataDxfId="711">
      <calculatedColumnFormula>Tabla1[[#This Row],[CANTIDADES A UTILIZAR  AÑO 4 11]]*(1+Tabla1[[#This Row],[CAMBIO PORCENTUAL EN UNIDADES VENDIDAS AÑO 5 11 ]])</calculatedColumnFormula>
    </tableColumn>
    <tableColumn id="214" xr3:uid="{00000000-0010-0000-0300-0000D6000000}" name="COSTO POR UNIDAD DE PRODUCTO (11)" dataDxfId="710">
      <calculatedColumnFormula>IF(Tabla1[[#This Row],[CANTIDADES A UTILIZAR  AÑO 1 11 ]]=0,0,Tabla1[[#This Row],[CANTIDADES A UTILIZAR  AÑO 1 11 ]]*1/Tabla1[[#This Row],[UNIDADES PRODUCIDAS AÑO 1 11]])</calculatedColumnFormula>
    </tableColumn>
    <tableColumn id="215" xr3:uid="{00000000-0010-0000-0300-0000D7000000}" name="COSTO UNITARIO AÑO 2 11" dataDxfId="709">
      <calculatedColumnFormula>$D$26*(1+BASES!$E$14)</calculatedColumnFormula>
    </tableColumn>
    <tableColumn id="216" xr3:uid="{00000000-0010-0000-0300-0000D8000000}" name="COSTO UNITARIO AÑO 3 11 " dataDxfId="708">
      <calculatedColumnFormula>Tabla1[[#This Row],[COSTO UNITARIO AÑO 2 11]]*(1+BASES!$F$14)</calculatedColumnFormula>
    </tableColumn>
    <tableColumn id="217" xr3:uid="{00000000-0010-0000-0300-0000D9000000}" name="COSTO UNITARIO AÑO 4 11 " dataDxfId="707">
      <calculatedColumnFormula>Tabla1[[#This Row],[COSTO UNITARIO AÑO 3 11 ]]*(1+BASES!$G$14)</calculatedColumnFormula>
    </tableColumn>
    <tableColumn id="218" xr3:uid="{00000000-0010-0000-0300-0000DA000000}" name="COSTO UNITARIO AÑO 5 11 " dataDxfId="706">
      <calculatedColumnFormula>Tabla1[[#This Row],[COSTO UNITARIO AÑO 4 11 ]]*(1+BASES!$H$14)</calculatedColumnFormula>
    </tableColumn>
    <tableColumn id="219" xr3:uid="{00000000-0010-0000-0300-0000DB000000}" name="AÑO 1 11 " dataDxfId="705">
      <calculatedColumnFormula>Tabla1[[#This Row],[COSTO POR UNIDAD DE PRODUCTO (11)]]*$D$26*VLOOKUP(Tabla1[[#This Row],[CÓDIGO DEL PRODUCTO Y/O SERVICIO ]],Tabla3[],3,0)</calculatedColumnFormula>
    </tableColumn>
    <tableColumn id="220" xr3:uid="{00000000-0010-0000-0300-0000DC000000}" name="AÑO 2 11 " dataDxfId="704">
      <calculatedColumnFormula>Tabla1[[#This Row],[COSTO POR UNIDAD DE PRODUCTO (11)]]*Tabla1[[#This Row],[COSTO UNITARIO AÑO 2 11]]*VLOOKUP(Tabla1[[#This Row],[CÓDIGO DEL PRODUCTO Y/O SERVICIO ]],Tabla3[],6,0)</calculatedColumnFormula>
    </tableColumn>
    <tableColumn id="221" xr3:uid="{00000000-0010-0000-0300-0000DD000000}" name="AÑO 3 11" dataDxfId="703">
      <calculatedColumnFormula>Tabla1[[#This Row],[COSTO POR UNIDAD DE PRODUCTO (11)]]*Tabla1[[#This Row],[COSTO UNITARIO AÑO 3 11 ]]*VLOOKUP(Tabla1[[#This Row],[CÓDIGO DEL PRODUCTO Y/O SERVICIO ]],Tabla3[],10,0)</calculatedColumnFormula>
    </tableColumn>
    <tableColumn id="222" xr3:uid="{00000000-0010-0000-0300-0000DE000000}" name="AÑO 4 11 " dataDxfId="702">
      <calculatedColumnFormula>Tabla1[[#This Row],[COSTO POR UNIDAD DE PRODUCTO (11)]]*Tabla1[[#This Row],[COSTO UNITARIO AÑO 4 11 ]]*VLOOKUP(Tabla1[[#This Row],[CÓDIGO DEL PRODUCTO Y/O SERVICIO ]],Tabla3[],14,0)</calculatedColumnFormula>
    </tableColumn>
    <tableColumn id="223" xr3:uid="{00000000-0010-0000-0300-0000DF000000}" name="AÑO 5 11 " dataDxfId="701">
      <calculatedColumnFormula>Tabla1[[#This Row],[COSTO POR UNIDAD DE PRODUCTO (11)]]*Tabla1[[#This Row],[COSTO UNITARIO AÑO 5 11 ]]*VLOOKUP(Tabla1[[#This Row],[CÓDIGO DEL PRODUCTO Y/O SERVICIO ]],Tabla3[],18,0)</calculatedColumnFormula>
    </tableColumn>
    <tableColumn id="225" xr3:uid="{00000000-0010-0000-0300-0000E1000000}" name="UNIDADES PRODUCIDAS AÑO 1 12" dataDxfId="700">
      <calculatedColumnFormula>VLOOKUP(Tabla1[[#This Row],[CÓDIGO DEL PRODUCTO Y/O SERVICIO ]],Tabla3[],3,0)</calculatedColumnFormula>
    </tableColumn>
    <tableColumn id="226" xr3:uid="{00000000-0010-0000-0300-0000E2000000}" name="CANTIDADES A UTILIZAR  AÑO 1 12" dataDxfId="699">
      <calculatedColumnFormula>Tabla1[[#This Row],[UNIDADES PRODUCIDAS AÑO 1 12]]*Q43</calculatedColumnFormula>
    </tableColumn>
    <tableColumn id="227" xr3:uid="{00000000-0010-0000-0300-0000E3000000}" name="CAMBIO PORCENTUAL EN UNIDADES VENDIDAS AÑO 2 12" dataDxfId="698">
      <calculatedColumnFormula>VLOOKUP(Tabla1[[#This Row],[CÓDIGO DEL PRODUCTO Y/O SERVICIO ]],Tabla3[],9,0)</calculatedColumnFormula>
    </tableColumn>
    <tableColumn id="228" xr3:uid="{00000000-0010-0000-0300-0000E4000000}" name="CANTIDADES A UTILIZAR  AÑO 2 12" dataDxfId="697">
      <calculatedColumnFormula>Tabla1[[#This Row],[CANTIDADES A UTILIZAR  AÑO 1 12]]*(1+Tabla1[[#This Row],[CAMBIO PORCENTUAL EN UNIDADES VENDIDAS AÑO 2 12]])</calculatedColumnFormula>
    </tableColumn>
    <tableColumn id="229" xr3:uid="{00000000-0010-0000-0300-0000E5000000}" name="CAMBIO PORCENTUAL EN UNIDADES VENDIDAS AÑO 3 12" dataDxfId="696">
      <calculatedColumnFormula>VLOOKUP(Tabla1[[#This Row],[CÓDIGO DEL PRODUCTO Y/O SERVICIO ]],Tabla3[],13,0)</calculatedColumnFormula>
    </tableColumn>
    <tableColumn id="230" xr3:uid="{00000000-0010-0000-0300-0000E6000000}" name="CANTIDADES A UTILIZAR  AÑO 3 12" dataDxfId="695">
      <calculatedColumnFormula>Tabla1[[#This Row],[CANTIDADES A UTILIZAR  AÑO 2 12]]*(1+Tabla1[[#This Row],[CAMBIO PORCENTUAL EN UNIDADES VENDIDAS AÑO 3 12]])</calculatedColumnFormula>
    </tableColumn>
    <tableColumn id="231" xr3:uid="{00000000-0010-0000-0300-0000E7000000}" name="CAMBIO PORCENTUAL EN UNIDADES VENDIDAS AÑO 4 12" dataDxfId="694">
      <calculatedColumnFormula>VLOOKUP(Tabla1[[#This Row],[CÓDIGO DEL PRODUCTO Y/O SERVICIO ]],Tabla3[],17,0)</calculatedColumnFormula>
    </tableColumn>
    <tableColumn id="232" xr3:uid="{00000000-0010-0000-0300-0000E8000000}" name="CANTIDADES A UTILIZAR  AÑO 4 12" dataDxfId="693">
      <calculatedColumnFormula>Tabla1[[#This Row],[CANTIDADES A UTILIZAR  AÑO 3 12]]*(1+Tabla1[[#This Row],[CAMBIO PORCENTUAL EN UNIDADES VENDIDAS AÑO 4 12]])</calculatedColumnFormula>
    </tableColumn>
    <tableColumn id="233" xr3:uid="{00000000-0010-0000-0300-0000E9000000}" name="CAMBIO PORCENTUAL EN UNIDADES VENDIDAS AÑO 5 12" dataDxfId="692">
      <calculatedColumnFormula>VLOOKUP(Tabla1[[#This Row],[CÓDIGO DEL PRODUCTO Y/O SERVICIO ]],Tabla3[],21,0)</calculatedColumnFormula>
    </tableColumn>
    <tableColumn id="234" xr3:uid="{00000000-0010-0000-0300-0000EA000000}" name="CANTIDADES A UTILIZAR AÑO 5 12" dataDxfId="691">
      <calculatedColumnFormula>Tabla1[[#This Row],[CANTIDADES A UTILIZAR  AÑO 4 12]]*(1+Tabla1[[#This Row],[CAMBIO PORCENTUAL EN UNIDADES VENDIDAS AÑO 5 12]])</calculatedColumnFormula>
    </tableColumn>
    <tableColumn id="235" xr3:uid="{00000000-0010-0000-0300-0000EB000000}" name="COSTO POR UNIDAD DE PRODUCTO (12)" dataDxfId="690">
      <calculatedColumnFormula>IF(Tabla1[[#This Row],[CANTIDADES A UTILIZAR  AÑO 1 12]]=0,0,Tabla1[[#This Row],[CANTIDADES A UTILIZAR  AÑO 1 12]]*1/Tabla1[[#This Row],[UNIDADES PRODUCIDAS AÑO 1 12]])</calculatedColumnFormula>
    </tableColumn>
    <tableColumn id="236" xr3:uid="{00000000-0010-0000-0300-0000EC000000}" name="COSTO UNITARIO AÑO 2 12" dataDxfId="689">
      <calculatedColumnFormula>$D$27*(1+BASES!$E$14)</calculatedColumnFormula>
    </tableColumn>
    <tableColumn id="237" xr3:uid="{00000000-0010-0000-0300-0000ED000000}" name="COSTO UNITARIO AÑO 3 12" dataDxfId="688">
      <calculatedColumnFormula>Tabla1[[#This Row],[COSTO UNITARIO AÑO 2 12]]*(1+BASES!$F$14)</calculatedColumnFormula>
    </tableColumn>
    <tableColumn id="238" xr3:uid="{00000000-0010-0000-0300-0000EE000000}" name="COSTO UNITARIO AÑO 4 12" dataDxfId="687">
      <calculatedColumnFormula>Tabla1[[#This Row],[COSTO UNITARIO AÑO 3 12]]*(1+BASES!$G$14)</calculatedColumnFormula>
    </tableColumn>
    <tableColumn id="239" xr3:uid="{00000000-0010-0000-0300-0000EF000000}" name="COSTO UNITARIO AÑO 5 12" dataDxfId="686">
      <calculatedColumnFormula>Tabla1[[#This Row],[COSTO UNITARIO AÑO 4 12]]*(1+BASES!$H$14)</calculatedColumnFormula>
    </tableColumn>
    <tableColumn id="240" xr3:uid="{00000000-0010-0000-0300-0000F0000000}" name="AÑO 1 12" dataDxfId="685">
      <calculatedColumnFormula>Tabla1[[#This Row],[COSTO POR UNIDAD DE PRODUCTO (12)]]*$D$27*VLOOKUP(Tabla1[[#This Row],[CÓDIGO DEL PRODUCTO Y/O SERVICIO ]],Tabla3[],3,0)</calculatedColumnFormula>
    </tableColumn>
    <tableColumn id="241" xr3:uid="{00000000-0010-0000-0300-0000F1000000}" name="AÑO 2 12" dataDxfId="684">
      <calculatedColumnFormula>Tabla1[[#This Row],[COSTO POR UNIDAD DE PRODUCTO (12)]]*Tabla1[[#This Row],[COSTO UNITARIO AÑO 2 12]]*VLOOKUP(Tabla1[[#This Row],[CÓDIGO DEL PRODUCTO Y/O SERVICIO ]],Tabla3[],6,0)</calculatedColumnFormula>
    </tableColumn>
    <tableColumn id="242" xr3:uid="{00000000-0010-0000-0300-0000F2000000}" name="AÑO 3 12" dataDxfId="683">
      <calculatedColumnFormula>Tabla1[[#This Row],[COSTO POR UNIDAD DE PRODUCTO (12)]]*Tabla1[[#This Row],[COSTO UNITARIO AÑO 3 12]]*VLOOKUP(Tabla1[[#This Row],[CÓDIGO DEL PRODUCTO Y/O SERVICIO ]],Tabla3[],10,0)</calculatedColumnFormula>
    </tableColumn>
    <tableColumn id="243" xr3:uid="{00000000-0010-0000-0300-0000F3000000}" name="AÑO 4 12" dataDxfId="682">
      <calculatedColumnFormula>Tabla1[[#This Row],[COSTO POR UNIDAD DE PRODUCTO (12)]]*Tabla1[[#This Row],[COSTO UNITARIO AÑO 4 12]]*VLOOKUP(Tabla1[[#This Row],[CÓDIGO DEL PRODUCTO Y/O SERVICIO ]],Tabla3[],14,0)</calculatedColumnFormula>
    </tableColumn>
    <tableColumn id="244" xr3:uid="{00000000-0010-0000-0300-0000F4000000}" name="AÑO 5 12" dataDxfId="681">
      <calculatedColumnFormula>Tabla1[[#This Row],[COSTO POR UNIDAD DE PRODUCTO (12)]]*Tabla1[[#This Row],[COSTO UNITARIO AÑO 5 12]]*VLOOKUP(Tabla1[[#This Row],[CÓDIGO DEL PRODUCTO Y/O SERVICIO ]],Tabla3[],18,0)</calculatedColumnFormula>
    </tableColumn>
    <tableColumn id="224" xr3:uid="{00000000-0010-0000-0300-0000E0000000}" name="UNIDADES PRODUCIDAS AÑO 1 13" dataDxfId="680">
      <calculatedColumnFormula>VLOOKUP(Tabla1[[#This Row],[CÓDIGO DEL PRODUCTO Y/O SERVICIO ]],Tabla3[],3,0)</calculatedColumnFormula>
    </tableColumn>
    <tableColumn id="245" xr3:uid="{00000000-0010-0000-0300-0000F5000000}" name="CANTIDADES A UTILIZAR  AÑO 1 13" dataDxfId="679">
      <calculatedColumnFormula>Tabla1[[#This Row],[UNIDADES PRODUCIDAS AÑO 1 13]]*R43</calculatedColumnFormula>
    </tableColumn>
    <tableColumn id="246" xr3:uid="{00000000-0010-0000-0300-0000F6000000}" name="CAMBIO PORCENTUAL EN UNIDADES VENDIDAS AÑO 2 13" dataDxfId="678">
      <calculatedColumnFormula>VLOOKUP(Tabla1[[#This Row],[CÓDIGO DEL PRODUCTO Y/O SERVICIO ]],Tabla3[],9,0)</calculatedColumnFormula>
    </tableColumn>
    <tableColumn id="247" xr3:uid="{00000000-0010-0000-0300-0000F7000000}" name="CANTIDADES A UTILIZAR  AÑO 2 13" dataDxfId="677">
      <calculatedColumnFormula>Tabla1[[#This Row],[CANTIDADES A UTILIZAR  AÑO 1 13]]*(1+Tabla1[[#This Row],[CAMBIO PORCENTUAL EN UNIDADES VENDIDAS AÑO 2 13]])</calculatedColumnFormula>
    </tableColumn>
    <tableColumn id="248" xr3:uid="{00000000-0010-0000-0300-0000F8000000}" name="CAMBIO PORCENTUAL EN UNIDADES VENDIDAS AÑO 3 13" dataDxfId="676">
      <calculatedColumnFormula>VLOOKUP(Tabla1[[#This Row],[CÓDIGO DEL PRODUCTO Y/O SERVICIO ]],Tabla3[],13,0)</calculatedColumnFormula>
    </tableColumn>
    <tableColumn id="249" xr3:uid="{00000000-0010-0000-0300-0000F9000000}" name="CANTIDADES A UTILIZAR  AÑO 3 13" dataDxfId="675">
      <calculatedColumnFormula>Tabla1[[#This Row],[CANTIDADES A UTILIZAR  AÑO 2 13]]*(1+Tabla1[[#This Row],[CAMBIO PORCENTUAL EN UNIDADES VENDIDAS AÑO 3 13]])</calculatedColumnFormula>
    </tableColumn>
    <tableColumn id="250" xr3:uid="{00000000-0010-0000-0300-0000FA000000}" name="CAMBIO PORCENTUAL EN UNIDADES VENDIDAS AÑO 4 13" dataDxfId="674">
      <calculatedColumnFormula>VLOOKUP(Tabla1[[#This Row],[CÓDIGO DEL PRODUCTO Y/O SERVICIO ]],Tabla3[],17,0)</calculatedColumnFormula>
    </tableColumn>
    <tableColumn id="251" xr3:uid="{00000000-0010-0000-0300-0000FB000000}" name="CANTIDADES A UTILIZAR  AÑO 4 13" dataDxfId="673">
      <calculatedColumnFormula>Tabla1[[#This Row],[CANTIDADES A UTILIZAR  AÑO 3 13]]*(1+Tabla1[[#This Row],[CAMBIO PORCENTUAL EN UNIDADES VENDIDAS AÑO 4 13]])</calculatedColumnFormula>
    </tableColumn>
    <tableColumn id="252" xr3:uid="{00000000-0010-0000-0300-0000FC000000}" name="CAMBIO PORCENTUAL EN UNIDADES VENDIDAS AÑO 5 13" dataDxfId="672">
      <calculatedColumnFormula>VLOOKUP(Tabla1[[#This Row],[CÓDIGO DEL PRODUCTO Y/O SERVICIO ]],Tabla3[],21,0)</calculatedColumnFormula>
    </tableColumn>
    <tableColumn id="253" xr3:uid="{00000000-0010-0000-0300-0000FD000000}" name="CANTIDADES A UTILIZAR AÑO 5 13" dataDxfId="671">
      <calculatedColumnFormula>Tabla1[[#This Row],[CANTIDADES A UTILIZAR  AÑO 4 13]]*(1+Tabla1[[#This Row],[CAMBIO PORCENTUAL EN UNIDADES VENDIDAS AÑO 5 13]])</calculatedColumnFormula>
    </tableColumn>
    <tableColumn id="254" xr3:uid="{00000000-0010-0000-0300-0000FE000000}" name="COSTO POR UNIDAD DE PRODUCTO (13)" dataDxfId="670">
      <calculatedColumnFormula>IF(Tabla1[[#This Row],[CANTIDADES A UTILIZAR  AÑO 1 13]]=0,0,Tabla1[[#This Row],[CANTIDADES A UTILIZAR  AÑO 1 13]]*1/Tabla1[[#This Row],[UNIDADES PRODUCIDAS AÑO 1 13]])</calculatedColumnFormula>
    </tableColumn>
    <tableColumn id="255" xr3:uid="{00000000-0010-0000-0300-0000FF000000}" name="COSTO UNITARIO AÑO 2 13" dataDxfId="669">
      <calculatedColumnFormula>$D$28*(1+BASES!$E$14)</calculatedColumnFormula>
    </tableColumn>
    <tableColumn id="256" xr3:uid="{00000000-0010-0000-0300-000000010000}" name="COSTO UNITARIO AÑO 3 13" dataDxfId="668">
      <calculatedColumnFormula>Tabla1[[#This Row],[COSTO UNITARIO AÑO 2 13]]*(1+BASES!$F$14)</calculatedColumnFormula>
    </tableColumn>
    <tableColumn id="257" xr3:uid="{00000000-0010-0000-0300-000001010000}" name="COSTO UNITARIO AÑO 4 13" dataDxfId="667">
      <calculatedColumnFormula>Tabla1[[#This Row],[COSTO UNITARIO AÑO 3 13]]*(1+BASES!$G$14)</calculatedColumnFormula>
    </tableColumn>
    <tableColumn id="258" xr3:uid="{00000000-0010-0000-0300-000002010000}" name="COSTO UNITARIO AÑO 5 13" dataDxfId="666">
      <calculatedColumnFormula>Tabla1[[#This Row],[COSTO UNITARIO AÑO 4 13]]*(1+BASES!$H$14)</calculatedColumnFormula>
    </tableColumn>
    <tableColumn id="259" xr3:uid="{00000000-0010-0000-0300-000003010000}" name="AÑO 1 13" dataDxfId="665">
      <calculatedColumnFormula>Tabla1[[#This Row],[COSTO POR UNIDAD DE PRODUCTO (13)]]*$D$28*VLOOKUP(Tabla1[[#This Row],[CÓDIGO DEL PRODUCTO Y/O SERVICIO ]],Tabla3[],3,0)</calculatedColumnFormula>
    </tableColumn>
    <tableColumn id="260" xr3:uid="{00000000-0010-0000-0300-000004010000}" name="AÑO 2 13" dataDxfId="664">
      <calculatedColumnFormula>Tabla1[[#This Row],[COSTO POR UNIDAD DE PRODUCTO (13)]]*Tabla1[[#This Row],[COSTO UNITARIO AÑO 2 13]]*VLOOKUP(Tabla1[[#This Row],[CÓDIGO DEL PRODUCTO Y/O SERVICIO ]],Tabla3[],6,0)</calculatedColumnFormula>
    </tableColumn>
    <tableColumn id="261" xr3:uid="{00000000-0010-0000-0300-000005010000}" name="AÑO 3 13" dataDxfId="663">
      <calculatedColumnFormula>Tabla1[[#This Row],[COSTO POR UNIDAD DE PRODUCTO (13)]]*Tabla1[[#This Row],[COSTO UNITARIO AÑO 3 13]]*VLOOKUP(Tabla1[[#This Row],[CÓDIGO DEL PRODUCTO Y/O SERVICIO ]],Tabla3[],10,0)</calculatedColumnFormula>
    </tableColumn>
    <tableColumn id="262" xr3:uid="{00000000-0010-0000-0300-000006010000}" name="AÑO 4 13" dataDxfId="662">
      <calculatedColumnFormula>Tabla1[[#This Row],[COSTO POR UNIDAD DE PRODUCTO (13)]]*Tabla1[[#This Row],[COSTO UNITARIO AÑO 4 13]]*VLOOKUP(Tabla1[[#This Row],[CÓDIGO DEL PRODUCTO Y/O SERVICIO ]],Tabla3[],14,0)</calculatedColumnFormula>
    </tableColumn>
    <tableColumn id="263" xr3:uid="{00000000-0010-0000-0300-000007010000}" name="AÑO 5 13" dataDxfId="661">
      <calculatedColumnFormula>Tabla1[[#This Row],[COSTO POR UNIDAD DE PRODUCTO (13)]]*Tabla1[[#This Row],[COSTO UNITARIO AÑO 5 13]]*VLOOKUP(Tabla1[[#This Row],[CÓDIGO DEL PRODUCTO Y/O SERVICIO ]],Tabla3[],18,0)</calculatedColumnFormula>
    </tableColumn>
    <tableColumn id="264" xr3:uid="{00000000-0010-0000-0300-000008010000}" name="UNIDADES PRODUCIDAS AÑO 1 14" dataDxfId="660">
      <calculatedColumnFormula>VLOOKUP(Tabla1[[#This Row],[CÓDIGO DEL PRODUCTO Y/O SERVICIO ]],Tabla3[],3,0)</calculatedColumnFormula>
    </tableColumn>
    <tableColumn id="265" xr3:uid="{00000000-0010-0000-0300-000009010000}" name="CANTIDADES A UTILIZAR  AÑO 1 14" dataDxfId="659">
      <calculatedColumnFormula>Tabla1[[#This Row],[UNIDADES PRODUCIDAS AÑO 1 14]]*S43</calculatedColumnFormula>
    </tableColumn>
    <tableColumn id="266" xr3:uid="{00000000-0010-0000-0300-00000A010000}" name="CAMBIO PORCENTUAL EN UNIDADES VENDIDAS AÑO 2 14" dataDxfId="658">
      <calculatedColumnFormula>VLOOKUP(Tabla1[[#This Row],[CÓDIGO DEL PRODUCTO Y/O SERVICIO ]],Tabla3[],9,0)</calculatedColumnFormula>
    </tableColumn>
    <tableColumn id="267" xr3:uid="{00000000-0010-0000-0300-00000B010000}" name="CANTIDADES A UTILIZAR  AÑO 2 14" dataDxfId="657">
      <calculatedColumnFormula>Tabla1[[#This Row],[CANTIDADES A UTILIZAR  AÑO 1 14]]*(1+Tabla1[[#This Row],[CAMBIO PORCENTUAL EN UNIDADES VENDIDAS AÑO 2 14]])</calculatedColumnFormula>
    </tableColumn>
    <tableColumn id="268" xr3:uid="{00000000-0010-0000-0300-00000C010000}" name="CAMBIO PORCENTUAL EN UNIDADES VENDIDAS AÑO 3 14" dataDxfId="656">
      <calculatedColumnFormula>VLOOKUP(Tabla1[[#This Row],[CÓDIGO DEL PRODUCTO Y/O SERVICIO ]],Tabla3[],13,0)</calculatedColumnFormula>
    </tableColumn>
    <tableColumn id="283" xr3:uid="{00000000-0010-0000-0300-00001B010000}" name="CANTIDADES A UTILIZAR AÑO 3 14" dataDxfId="655">
      <calculatedColumnFormula>Tabla1[[#This Row],[CANTIDADES A UTILIZAR  AÑO 2 14]]*(1+Tabla1[[#This Row],[CAMBIO PORCENTUAL EN UNIDADES VENDIDAS AÑO 3 14]])</calculatedColumnFormula>
    </tableColumn>
    <tableColumn id="269" xr3:uid="{00000000-0010-0000-0300-00000D010000}" name="CAMBIO PORCENTUAL EN UNIDADES VENDIDAS AÑO 4 14" dataDxfId="654">
      <calculatedColumnFormula>VLOOKUP(Tabla1[[#This Row],[CÓDIGO DEL PRODUCTO Y/O SERVICIO ]],Tabla3[],17,0)</calculatedColumnFormula>
    </tableColumn>
    <tableColumn id="270" xr3:uid="{00000000-0010-0000-0300-00000E010000}" name="CANTIDADES A UTILIZAR  AÑO 4 14" dataDxfId="653">
      <calculatedColumnFormula>Tabla1[[#This Row],[CANTIDADES A UTILIZAR AÑO 3 14]]*(1+Tabla1[[#This Row],[CAMBIO PORCENTUAL EN UNIDADES VENDIDAS AÑO 4 14]])</calculatedColumnFormula>
    </tableColumn>
    <tableColumn id="271" xr3:uid="{00000000-0010-0000-0300-00000F010000}" name="CAMBIO PORCENTUAL EN UNIDADES VENDIDAS AÑO 5 14" dataDxfId="652">
      <calculatedColumnFormula>VLOOKUP(Tabla1[[#This Row],[CÓDIGO DEL PRODUCTO Y/O SERVICIO ]],Tabla3[],21,0)</calculatedColumnFormula>
    </tableColumn>
    <tableColumn id="272" xr3:uid="{00000000-0010-0000-0300-000010010000}" name="CANTIDADES A UTILIZAR AÑO 5 14" dataDxfId="651">
      <calculatedColumnFormula>Tabla1[[#This Row],[CANTIDADES A UTILIZAR  AÑO 4 14]]*(1+Tabla1[[#This Row],[CAMBIO PORCENTUAL EN UNIDADES VENDIDAS AÑO 5 14]])</calculatedColumnFormula>
    </tableColumn>
    <tableColumn id="273" xr3:uid="{00000000-0010-0000-0300-000011010000}" name="COSTO POR UNIDAD DE PRODUCTO (14)" dataDxfId="650">
      <calculatedColumnFormula>IF(Tabla1[[#This Row],[CANTIDADES A UTILIZAR  AÑO 1 14]]=0,0,Tabla1[[#This Row],[CANTIDADES A UTILIZAR  AÑO 1 14]]*1/Tabla1[[#This Row],[UNIDADES PRODUCIDAS AÑO 1 14]])</calculatedColumnFormula>
    </tableColumn>
    <tableColumn id="274" xr3:uid="{00000000-0010-0000-0300-000012010000}" name="COSTO UNITARIO AÑO 2 14" dataDxfId="649">
      <calculatedColumnFormula>$D$29*(1+BASES!$E$14)</calculatedColumnFormula>
    </tableColumn>
    <tableColumn id="275" xr3:uid="{00000000-0010-0000-0300-000013010000}" name="COSTO UNITARIO AÑO 3 14" dataDxfId="648">
      <calculatedColumnFormula>Tabla1[[#This Row],[COSTO UNITARIO AÑO 2 14]]*(1+BASES!$F$14)</calculatedColumnFormula>
    </tableColumn>
    <tableColumn id="276" xr3:uid="{00000000-0010-0000-0300-000014010000}" name="COSTO UNITARIO AÑO 4 14" dataDxfId="647">
      <calculatedColumnFormula>Tabla1[[#This Row],[COSTO UNITARIO AÑO 3 14]]*(1+BASES!$G$14)</calculatedColumnFormula>
    </tableColumn>
    <tableColumn id="277" xr3:uid="{00000000-0010-0000-0300-000015010000}" name="COSTO UNITARIO AÑO 5 14" dataDxfId="646">
      <calculatedColumnFormula>Tabla1[[#This Row],[COSTO UNITARIO AÑO 4 14]]*(1+BASES!$H$14)</calculatedColumnFormula>
    </tableColumn>
    <tableColumn id="278" xr3:uid="{00000000-0010-0000-0300-000016010000}" name="AÑO 1 14" dataDxfId="645">
      <calculatedColumnFormula>Tabla1[[#This Row],[COSTO POR UNIDAD DE PRODUCTO (14)]]*$D$29*VLOOKUP(Tabla1[[#This Row],[CÓDIGO DEL PRODUCTO Y/O SERVICIO ]],Tabla3[],3,0)</calculatedColumnFormula>
    </tableColumn>
    <tableColumn id="279" xr3:uid="{00000000-0010-0000-0300-000017010000}" name="AÑO 2 14" dataDxfId="644">
      <calculatedColumnFormula>Tabla1[[#This Row],[COSTO POR UNIDAD DE PRODUCTO (14)]]*Tabla1[[#This Row],[COSTO UNITARIO AÑO 2 14]]*VLOOKUP(Tabla1[[#This Row],[CÓDIGO DEL PRODUCTO Y/O SERVICIO ]],Tabla3[],6,0)</calculatedColumnFormula>
    </tableColumn>
    <tableColumn id="280" xr3:uid="{00000000-0010-0000-0300-000018010000}" name="AÑO 3 14" dataDxfId="643">
      <calculatedColumnFormula>Tabla1[[#This Row],[COSTO POR UNIDAD DE PRODUCTO (14)]]*Tabla1[[#This Row],[COSTO UNITARIO AÑO 3 14]]*VLOOKUP(Tabla1[[#This Row],[CÓDIGO DEL PRODUCTO Y/O SERVICIO ]],Tabla3[],10,0)</calculatedColumnFormula>
    </tableColumn>
    <tableColumn id="281" xr3:uid="{00000000-0010-0000-0300-000019010000}" name="AÑO 4 14" dataDxfId="642">
      <calculatedColumnFormula>Tabla1[[#This Row],[COSTO POR UNIDAD DE PRODUCTO (14)]]*Tabla1[[#This Row],[COSTO UNITARIO AÑO 4 14]]*VLOOKUP(Tabla1[[#This Row],[CÓDIGO DEL PRODUCTO Y/O SERVICIO ]],Tabla3[],14,0)</calculatedColumnFormula>
    </tableColumn>
    <tableColumn id="282" xr3:uid="{00000000-0010-0000-0300-00001A010000}" name="AÑO 5 14" dataDxfId="641">
      <calculatedColumnFormula>Tabla1[[#This Row],[COSTO POR UNIDAD DE PRODUCTO (14)]]*Tabla1[[#This Row],[COSTO UNITARIO AÑO 5 14]]*VLOOKUP(Tabla1[[#This Row],[CÓDIGO DEL PRODUCTO Y/O SERVICIO ]],Tabla3[],18,0)</calculatedColumnFormula>
    </tableColumn>
    <tableColumn id="284" xr3:uid="{00000000-0010-0000-0300-00001C010000}" name="UNIDADES PRODUCIDAS AÑO 1 15" dataDxfId="640">
      <calculatedColumnFormula>VLOOKUP(Tabla1[[#This Row],[CÓDIGO DEL PRODUCTO Y/O SERVICIO ]],Tabla3[],3,0)</calculatedColumnFormula>
    </tableColumn>
    <tableColumn id="285" xr3:uid="{00000000-0010-0000-0300-00001D010000}" name="CANTIDADES A UTILIZAR  AÑO 1 15" dataDxfId="639">
      <calculatedColumnFormula>Tabla1[[#This Row],[UNIDADES PRODUCIDAS AÑO 1 15]]*T43</calculatedColumnFormula>
    </tableColumn>
    <tableColumn id="286" xr3:uid="{00000000-0010-0000-0300-00001E010000}" name="CAMBIO PORCENTUAL EN UNIDADES VENDIDAS AÑO 2 15" dataDxfId="638">
      <calculatedColumnFormula>VLOOKUP(Tabla1[[#This Row],[CÓDIGO DEL PRODUCTO Y/O SERVICIO ]],Tabla3[],9,0)</calculatedColumnFormula>
    </tableColumn>
    <tableColumn id="287" xr3:uid="{00000000-0010-0000-0300-00001F010000}" name="CANTIDADES A UTILIZAR  AÑO 2 15" dataDxfId="637">
      <calculatedColumnFormula>Tabla1[[#This Row],[CANTIDADES A UTILIZAR  AÑO 1 15]]*(1+Tabla1[[#This Row],[CAMBIO PORCENTUAL EN UNIDADES VENDIDAS AÑO 2 15]])</calculatedColumnFormula>
    </tableColumn>
    <tableColumn id="288" xr3:uid="{00000000-0010-0000-0300-000020010000}" name="CAMBIO PORCENTUAL EN UNIDADES VENDIDAS AÑO 3 15" dataDxfId="636">
      <calculatedColumnFormula>VLOOKUP(Tabla1[[#This Row],[CÓDIGO DEL PRODUCTO Y/O SERVICIO ]],Tabla3[],13,0)</calculatedColumnFormula>
    </tableColumn>
    <tableColumn id="289" xr3:uid="{00000000-0010-0000-0300-000021010000}" name="CANTIDADES A UTILIZAR  AÑO 3 15" dataDxfId="635">
      <calculatedColumnFormula>Tabla1[[#This Row],[CANTIDADES A UTILIZAR  AÑO 2 15]]*(1+Tabla1[[#This Row],[CAMBIO PORCENTUAL EN UNIDADES VENDIDAS AÑO 3 15]])</calculatedColumnFormula>
    </tableColumn>
    <tableColumn id="290" xr3:uid="{00000000-0010-0000-0300-000022010000}" name="CAMBIO PORCENTUAL EN UNIDADES VENDIDAS AÑO 4 15" dataDxfId="634">
      <calculatedColumnFormula>VLOOKUP(Tabla1[[#This Row],[CÓDIGO DEL PRODUCTO Y/O SERVICIO ]],Tabla3[],17,0)</calculatedColumnFormula>
    </tableColumn>
    <tableColumn id="291" xr3:uid="{00000000-0010-0000-0300-000023010000}" name="CANTIDADES A UTILIZAR  AÑO 4 15" dataDxfId="633">
      <calculatedColumnFormula>Tabla1[[#This Row],[CANTIDADES A UTILIZAR  AÑO 3 15]]*(1+Tabla1[[#This Row],[CAMBIO PORCENTUAL EN UNIDADES VENDIDAS AÑO 4 15]])</calculatedColumnFormula>
    </tableColumn>
    <tableColumn id="292" xr3:uid="{00000000-0010-0000-0300-000024010000}" name="CAMBIO PORCENTUAL EN UNIDADES VENDIDAS AÑO 5 15" dataDxfId="632">
      <calculatedColumnFormula>VLOOKUP(Tabla1[[#This Row],[CÓDIGO DEL PRODUCTO Y/O SERVICIO ]],Tabla3[],21,0)</calculatedColumnFormula>
    </tableColumn>
    <tableColumn id="293" xr3:uid="{00000000-0010-0000-0300-000025010000}" name="CANTIDADES A UTILIZAR AÑO 5 15" dataDxfId="631">
      <calculatedColumnFormula>Tabla1[[#This Row],[CANTIDADES A UTILIZAR  AÑO 4 15]]*(1+Tabla1[[#This Row],[CAMBIO PORCENTUAL EN UNIDADES VENDIDAS AÑO 5 15]])</calculatedColumnFormula>
    </tableColumn>
    <tableColumn id="294" xr3:uid="{00000000-0010-0000-0300-000026010000}" name="COSTO POR UNIDAD DE PRODUCTO (15)" dataDxfId="630">
      <calculatedColumnFormula>IF(Tabla1[[#This Row],[CANTIDADES A UTILIZAR  AÑO 1 15]]=0,0,Tabla1[[#This Row],[CANTIDADES A UTILIZAR  AÑO 1 15]]*1/Tabla1[[#This Row],[UNIDADES PRODUCIDAS AÑO 1 15]])</calculatedColumnFormula>
    </tableColumn>
    <tableColumn id="295" xr3:uid="{00000000-0010-0000-0300-000027010000}" name="COSTO UNITARIO AÑO 2 15" dataDxfId="629">
      <calculatedColumnFormula>$D$30*(1+BASES!$E$14)</calculatedColumnFormula>
    </tableColumn>
    <tableColumn id="296" xr3:uid="{00000000-0010-0000-0300-000028010000}" name="COSTO UNITARIO AÑO 3 15" dataDxfId="628">
      <calculatedColumnFormula>Tabla1[[#This Row],[COSTO UNITARIO AÑO 2 15]]*(1+BASES!$F$14)</calculatedColumnFormula>
    </tableColumn>
    <tableColumn id="297" xr3:uid="{00000000-0010-0000-0300-000029010000}" name="COSTO UNITARIO AÑO 4 15" dataDxfId="627">
      <calculatedColumnFormula>Tabla1[[#This Row],[COSTO UNITARIO AÑO 3 15]]*(1+BASES!$G$14)</calculatedColumnFormula>
    </tableColumn>
    <tableColumn id="298" xr3:uid="{00000000-0010-0000-0300-00002A010000}" name="COSTO UNITARIO AÑO 5 15" dataDxfId="626">
      <calculatedColumnFormula>Tabla1[[#This Row],[COSTO UNITARIO AÑO 4 15]]*(1+BASES!$H$14)</calculatedColumnFormula>
    </tableColumn>
    <tableColumn id="299" xr3:uid="{00000000-0010-0000-0300-00002B010000}" name="AÑO 1 15" dataDxfId="625">
      <calculatedColumnFormula>Tabla1[[#This Row],[COSTO POR UNIDAD DE PRODUCTO (15)]]*$D$30*VLOOKUP(Tabla1[[#This Row],[CÓDIGO DEL PRODUCTO Y/O SERVICIO ]],Tabla3[],3,0)</calculatedColumnFormula>
    </tableColumn>
    <tableColumn id="300" xr3:uid="{00000000-0010-0000-0300-00002C010000}" name="AÑO 2 15" dataDxfId="624">
      <calculatedColumnFormula>Tabla1[[#This Row],[COSTO POR UNIDAD DE PRODUCTO (15)]]*Tabla1[[#This Row],[COSTO UNITARIO AÑO 2 15]]*VLOOKUP(Tabla1[[#This Row],[CÓDIGO DEL PRODUCTO Y/O SERVICIO ]],Tabla3[],6,0)</calculatedColumnFormula>
    </tableColumn>
    <tableColumn id="301" xr3:uid="{00000000-0010-0000-0300-00002D010000}" name="AÑO 3 15" dataDxfId="623">
      <calculatedColumnFormula>Tabla1[[#This Row],[COSTO POR UNIDAD DE PRODUCTO (15)]]*Tabla1[[#This Row],[COSTO UNITARIO AÑO 3 15]]*VLOOKUP(Tabla1[[#This Row],[CÓDIGO DEL PRODUCTO Y/O SERVICIO ]],Tabla3[],10,0)</calculatedColumnFormula>
    </tableColumn>
    <tableColumn id="302" xr3:uid="{00000000-0010-0000-0300-00002E010000}" name="AÑO 4 15" dataDxfId="622">
      <calculatedColumnFormula>Tabla1[[#This Row],[COSTO POR UNIDAD DE PRODUCTO (15)]]*Tabla1[[#This Row],[COSTO UNITARIO AÑO 4 15]]*VLOOKUP(Tabla1[[#This Row],[CÓDIGO DEL PRODUCTO Y/O SERVICIO ]],Tabla3[],14,0)</calculatedColumnFormula>
    </tableColumn>
    <tableColumn id="303" xr3:uid="{00000000-0010-0000-0300-00002F010000}" name="AÑO 5 15" dataDxfId="621">
      <calculatedColumnFormula>Tabla1[[#This Row],[COSTO POR UNIDAD DE PRODUCTO (15)]]*Tabla1[[#This Row],[COSTO UNITARIO AÑO 5 15]]*VLOOKUP(Tabla1[[#This Row],[CÓDIGO DEL PRODUCTO Y/O SERVICIO ]],Tabla3[],18,0)</calculatedColumnFormula>
    </tableColumn>
    <tableColumn id="304" xr3:uid="{00000000-0010-0000-0300-000030010000}" name="UNIDADES PRODUCIDAS AÑO 1 16" dataDxfId="620">
      <calculatedColumnFormula>VLOOKUP(Tabla1[[#This Row],[CÓDIGO DEL PRODUCTO Y/O SERVICIO ]],Tabla3[],3,0)</calculatedColumnFormula>
    </tableColumn>
    <tableColumn id="305" xr3:uid="{00000000-0010-0000-0300-000031010000}" name="CANTIDADES A UTILIZAR  AÑO 1 16" dataDxfId="619">
      <calculatedColumnFormula>Tabla1[[#This Row],[UNIDADES PRODUCIDAS AÑO 1 16]]*U43</calculatedColumnFormula>
    </tableColumn>
    <tableColumn id="306" xr3:uid="{00000000-0010-0000-0300-000032010000}" name="CAMBIO PORCENTUAL EN UNIDADES VENDIDAS AÑO 2 16" dataDxfId="618">
      <calculatedColumnFormula>VLOOKUP(Tabla1[[#This Row],[CÓDIGO DEL PRODUCTO Y/O SERVICIO ]],Tabla3[],9,0)</calculatedColumnFormula>
    </tableColumn>
    <tableColumn id="307" xr3:uid="{00000000-0010-0000-0300-000033010000}" name="CANTIDADES A UTILIZAR  AÑO 2 16" dataDxfId="617">
      <calculatedColumnFormula>Tabla1[[#This Row],[CANTIDADES A UTILIZAR  AÑO 1 16]]*(1+Tabla1[[#This Row],[CAMBIO PORCENTUAL EN UNIDADES VENDIDAS AÑO 2 16]])</calculatedColumnFormula>
    </tableColumn>
    <tableColumn id="308" xr3:uid="{00000000-0010-0000-0300-000034010000}" name="CAMBIO PORCENTUAL EN UNIDADES VENDIDAS AÑO 3 16" dataDxfId="616">
      <calculatedColumnFormula>VLOOKUP(Tabla1[[#This Row],[CÓDIGO DEL PRODUCTO Y/O SERVICIO ]],Tabla3[],13,0)</calculatedColumnFormula>
    </tableColumn>
    <tableColumn id="309" xr3:uid="{00000000-0010-0000-0300-000035010000}" name="CANTIDADES A UTILIZAR  AÑO 3 16" dataDxfId="615">
      <calculatedColumnFormula>Tabla1[[#This Row],[CANTIDADES A UTILIZAR  AÑO 2 16]]*(1+Tabla1[[#This Row],[CAMBIO PORCENTUAL EN UNIDADES VENDIDAS AÑO 3 16]])</calculatedColumnFormula>
    </tableColumn>
    <tableColumn id="310" xr3:uid="{00000000-0010-0000-0300-000036010000}" name="CAMBIO PORCENTUAL EN UNIDADES VENDIDAS AÑO 4 16" dataDxfId="614">
      <calculatedColumnFormula>VLOOKUP(Tabla1[[#This Row],[CÓDIGO DEL PRODUCTO Y/O SERVICIO ]],Tabla3[],17,0)</calculatedColumnFormula>
    </tableColumn>
    <tableColumn id="311" xr3:uid="{00000000-0010-0000-0300-000037010000}" name="CANTIDADES A UTILIZAR  AÑO 4 16" dataDxfId="613">
      <calculatedColumnFormula>Tabla1[[#This Row],[CANTIDADES A UTILIZAR  AÑO 3 16]]*(1+Tabla1[[#This Row],[CAMBIO PORCENTUAL EN UNIDADES VENDIDAS AÑO 4 16]])</calculatedColumnFormula>
    </tableColumn>
    <tableColumn id="312" xr3:uid="{00000000-0010-0000-0300-000038010000}" name="CAMBIO PORCENTUAL EN UNIDADES VENDIDAS AÑO 5 16" dataDxfId="612">
      <calculatedColumnFormula>VLOOKUP(Tabla1[[#This Row],[CÓDIGO DEL PRODUCTO Y/O SERVICIO ]],Tabla3[],21,0)</calculatedColumnFormula>
    </tableColumn>
    <tableColumn id="313" xr3:uid="{00000000-0010-0000-0300-000039010000}" name="CANTIDADES A UTILIZAR AÑO 5 16" dataDxfId="611">
      <calculatedColumnFormula>Tabla1[[#This Row],[CANTIDADES A UTILIZAR  AÑO 4 16]]*(1+Tabla1[[#This Row],[CAMBIO PORCENTUAL EN UNIDADES VENDIDAS AÑO 5 16]])</calculatedColumnFormula>
    </tableColumn>
    <tableColumn id="314" xr3:uid="{00000000-0010-0000-0300-00003A010000}" name="COSTO POR UNIDAD DE PRODUCTO (16)" dataDxfId="610">
      <calculatedColumnFormula>IF(Tabla1[[#This Row],[CANTIDADES A UTILIZAR  AÑO 1 16]]=0,0,Tabla1[[#This Row],[CANTIDADES A UTILIZAR  AÑO 1 16]]*1/Tabla1[[#This Row],[UNIDADES PRODUCIDAS AÑO 1 16]])</calculatedColumnFormula>
    </tableColumn>
    <tableColumn id="315" xr3:uid="{00000000-0010-0000-0300-00003B010000}" name="COSTO UNITARIO AÑO 2 16" dataDxfId="609">
      <calculatedColumnFormula>$D$31*(1+BASES!$E$14)</calculatedColumnFormula>
    </tableColumn>
    <tableColumn id="316" xr3:uid="{00000000-0010-0000-0300-00003C010000}" name="COSTO UNITARIO AÑO 3 16" dataDxfId="608">
      <calculatedColumnFormula>Tabla1[[#This Row],[COSTO UNITARIO AÑO 2 16]]*(1+BASES!$F$14)</calculatedColumnFormula>
    </tableColumn>
    <tableColumn id="317" xr3:uid="{00000000-0010-0000-0300-00003D010000}" name="COSTO UNITARIO AÑO 4 16" dataDxfId="607">
      <calculatedColumnFormula>Tabla1[[#This Row],[COSTO UNITARIO AÑO 3 16]]*(1+BASES!$G$14)</calculatedColumnFormula>
    </tableColumn>
    <tableColumn id="318" xr3:uid="{00000000-0010-0000-0300-00003E010000}" name="COSTO UNITARIO AÑO 5 16" dataDxfId="606">
      <calculatedColumnFormula>Tabla1[[#This Row],[COSTO UNITARIO AÑO 4 16]]*(1+BASES!$H$14)</calculatedColumnFormula>
    </tableColumn>
    <tableColumn id="319" xr3:uid="{00000000-0010-0000-0300-00003F010000}" name="AÑO 1 16" dataDxfId="605">
      <calculatedColumnFormula>Tabla1[[#This Row],[COSTO POR UNIDAD DE PRODUCTO (16)]]*$D$31*VLOOKUP(Tabla1[[#This Row],[CÓDIGO DEL PRODUCTO Y/O SERVICIO ]],Tabla3[],3,0)</calculatedColumnFormula>
    </tableColumn>
    <tableColumn id="320" xr3:uid="{00000000-0010-0000-0300-000040010000}" name="AÑO 2 16" dataDxfId="604">
      <calculatedColumnFormula>Tabla1[[#This Row],[COSTO POR UNIDAD DE PRODUCTO (16)]]*Tabla1[[#This Row],[COSTO UNITARIO AÑO 2 16]]*VLOOKUP(Tabla1[[#This Row],[CÓDIGO DEL PRODUCTO Y/O SERVICIO ]],Tabla3[],6,0)</calculatedColumnFormula>
    </tableColumn>
    <tableColumn id="321" xr3:uid="{00000000-0010-0000-0300-000041010000}" name="AÑO 3 16" dataDxfId="603">
      <calculatedColumnFormula>Tabla1[[#This Row],[COSTO POR UNIDAD DE PRODUCTO (16)]]*Tabla1[[#This Row],[COSTO UNITARIO AÑO 3 16]]*VLOOKUP(Tabla1[[#This Row],[CÓDIGO DEL PRODUCTO Y/O SERVICIO ]],Tabla3[],10,0)</calculatedColumnFormula>
    </tableColumn>
    <tableColumn id="322" xr3:uid="{00000000-0010-0000-0300-000042010000}" name="AÑO 4 16" dataDxfId="602">
      <calculatedColumnFormula>Tabla1[[#This Row],[COSTO POR UNIDAD DE PRODUCTO (16)]]*Tabla1[[#This Row],[COSTO UNITARIO AÑO 4 16]]*VLOOKUP(Tabla1[[#This Row],[CÓDIGO DEL PRODUCTO Y/O SERVICIO ]],Tabla3[],14,0)</calculatedColumnFormula>
    </tableColumn>
    <tableColumn id="323" xr3:uid="{00000000-0010-0000-0300-000043010000}" name="AÑO 5 16" dataDxfId="601">
      <calculatedColumnFormula>Tabla1[[#This Row],[COSTO POR UNIDAD DE PRODUCTO (16)]]*Tabla1[[#This Row],[COSTO UNITARIO AÑO 5 16]]*VLOOKUP(Tabla1[[#This Row],[CÓDIGO DEL PRODUCTO Y/O SERVICIO ]],Tabla3[],18,0)</calculatedColumnFormula>
    </tableColumn>
    <tableColumn id="324" xr3:uid="{00000000-0010-0000-0300-000044010000}" name="UNIDADES PRODUCIDAS AÑO 1 17" dataDxfId="600">
      <calculatedColumnFormula>VLOOKUP(Tabla1[[#This Row],[CÓDIGO DEL PRODUCTO Y/O SERVICIO ]],Tabla3[],3,0)</calculatedColumnFormula>
    </tableColumn>
    <tableColumn id="325" xr3:uid="{00000000-0010-0000-0300-000045010000}" name="CANTIDADES A UTILIZAR  AÑO 1 17" dataDxfId="599">
      <calculatedColumnFormula>Tabla1[[#This Row],[UNIDADES PRODUCIDAS AÑO 1 17]]*V43</calculatedColumnFormula>
    </tableColumn>
    <tableColumn id="326" xr3:uid="{00000000-0010-0000-0300-000046010000}" name="CAMBIO PORCENTUAL EN UNIDADES VENDIDAS AÑO 2 17" dataDxfId="598">
      <calculatedColumnFormula>VLOOKUP(Tabla1[[#This Row],[CÓDIGO DEL PRODUCTO Y/O SERVICIO ]],Tabla3[],9,0)</calculatedColumnFormula>
    </tableColumn>
    <tableColumn id="327" xr3:uid="{00000000-0010-0000-0300-000047010000}" name="CANTIDADES A UTILIZAR  AÑO 2 17" dataDxfId="597">
      <calculatedColumnFormula>Tabla1[[#This Row],[CANTIDADES A UTILIZAR  AÑO 1 17]]*(1+Tabla1[[#This Row],[CAMBIO PORCENTUAL EN UNIDADES VENDIDAS AÑO 2 17]])</calculatedColumnFormula>
    </tableColumn>
    <tableColumn id="328" xr3:uid="{00000000-0010-0000-0300-000048010000}" name="CAMBIO PORCENTUAL EN UNIDADES VENDIDAS AÑO 3 17" dataDxfId="596">
      <calculatedColumnFormula>VLOOKUP(Tabla1[[#This Row],[CÓDIGO DEL PRODUCTO Y/O SERVICIO ]],Tabla3[],13,0)</calculatedColumnFormula>
    </tableColumn>
    <tableColumn id="329" xr3:uid="{00000000-0010-0000-0300-000049010000}" name="CANTIDADES A UTILIZAR  AÑO 3 17" dataDxfId="595">
      <calculatedColumnFormula>Tabla1[[#This Row],[CANTIDADES A UTILIZAR  AÑO 2 17]]*(1+Tabla1[[#This Row],[CAMBIO PORCENTUAL EN UNIDADES VENDIDAS AÑO 3 17]])</calculatedColumnFormula>
    </tableColumn>
    <tableColumn id="330" xr3:uid="{00000000-0010-0000-0300-00004A010000}" name="CAMBIO PORCENTUAL EN UNIDADES VENDIDAS AÑO 4 17 " dataDxfId="594">
      <calculatedColumnFormula>VLOOKUP(Tabla1[[#This Row],[CÓDIGO DEL PRODUCTO Y/O SERVICIO ]],Tabla3[],17,0)</calculatedColumnFormula>
    </tableColumn>
    <tableColumn id="331" xr3:uid="{00000000-0010-0000-0300-00004B010000}" name="CANTIDADES A UTILIZAR  AÑO 4 17" dataDxfId="593">
      <calculatedColumnFormula>Tabla1[[#This Row],[CANTIDADES A UTILIZAR  AÑO 3 17]]*(1+Tabla1[[#This Row],[CAMBIO PORCENTUAL EN UNIDADES VENDIDAS AÑO 4 17 ]])</calculatedColumnFormula>
    </tableColumn>
    <tableColumn id="332" xr3:uid="{00000000-0010-0000-0300-00004C010000}" name="CAMBIO PORCENTUAL EN UNIDADES VENDIDAS AÑO 5 17" dataDxfId="592">
      <calculatedColumnFormula>VLOOKUP(Tabla1[[#This Row],[CÓDIGO DEL PRODUCTO Y/O SERVICIO ]],Tabla3[],21,0)</calculatedColumnFormula>
    </tableColumn>
    <tableColumn id="333" xr3:uid="{00000000-0010-0000-0300-00004D010000}" name="CANTIDADES A UTILIZAR AÑO 5 17" dataDxfId="591">
      <calculatedColumnFormula>Tabla1[[#This Row],[CANTIDADES A UTILIZAR  AÑO 4 17]]*(1+Tabla1[[#This Row],[CAMBIO PORCENTUAL EN UNIDADES VENDIDAS AÑO 5 17]])</calculatedColumnFormula>
    </tableColumn>
    <tableColumn id="334" xr3:uid="{00000000-0010-0000-0300-00004E010000}" name="COSTO POR UNIDAD DE PRODUCTO (17)" dataDxfId="590">
      <calculatedColumnFormula>IF(Tabla1[[#This Row],[CANTIDADES A UTILIZAR  AÑO 1 17]]=0,0,Tabla1[[#This Row],[CANTIDADES A UTILIZAR  AÑO 1 17]]*1/Tabla1[[#This Row],[UNIDADES PRODUCIDAS AÑO 1 17]])</calculatedColumnFormula>
    </tableColumn>
    <tableColumn id="335" xr3:uid="{00000000-0010-0000-0300-00004F010000}" name="COSTO UNITARIO AÑO 2 17" dataDxfId="589">
      <calculatedColumnFormula>$D$32*(1+BASES!$E$14)</calculatedColumnFormula>
    </tableColumn>
    <tableColumn id="336" xr3:uid="{00000000-0010-0000-0300-000050010000}" name="COSTO UNITARIO AÑO 3 17" dataDxfId="588">
      <calculatedColumnFormula>Tabla1[[#This Row],[COSTO UNITARIO AÑO 2 17]]*(1+BASES!$F$14)</calculatedColumnFormula>
    </tableColumn>
    <tableColumn id="337" xr3:uid="{00000000-0010-0000-0300-000051010000}" name="COSTO UNITARIO AÑO 4 17" dataDxfId="587">
      <calculatedColumnFormula>Tabla1[[#This Row],[COSTO UNITARIO AÑO 3 17]]*(1+BASES!$G$14)</calculatedColumnFormula>
    </tableColumn>
    <tableColumn id="338" xr3:uid="{00000000-0010-0000-0300-000052010000}" name="COSTO UNITARIO AÑO 5 17" dataDxfId="586">
      <calculatedColumnFormula>Tabla1[[#This Row],[COSTO UNITARIO AÑO 4 17]]*(1+BASES!$H$14)</calculatedColumnFormula>
    </tableColumn>
    <tableColumn id="339" xr3:uid="{00000000-0010-0000-0300-000053010000}" name="AÑO 1 17" dataDxfId="585">
      <calculatedColumnFormula>Tabla1[[#This Row],[COSTO POR UNIDAD DE PRODUCTO (17)]]*$D$32*VLOOKUP(Tabla1[[#This Row],[CÓDIGO DEL PRODUCTO Y/O SERVICIO ]],Tabla3[],3,0)</calculatedColumnFormula>
    </tableColumn>
    <tableColumn id="340" xr3:uid="{00000000-0010-0000-0300-000054010000}" name="AÑO 2 17" dataDxfId="584">
      <calculatedColumnFormula>Tabla1[[#This Row],[COSTO POR UNIDAD DE PRODUCTO (17)]]*Tabla1[[#This Row],[COSTO UNITARIO AÑO 2 17]]*VLOOKUP(Tabla1[[#This Row],[CÓDIGO DEL PRODUCTO Y/O SERVICIO ]],Tabla3[],6,0)</calculatedColumnFormula>
    </tableColumn>
    <tableColumn id="341" xr3:uid="{00000000-0010-0000-0300-000055010000}" name="AÑO 3 17" dataDxfId="583">
      <calculatedColumnFormula>Tabla1[[#This Row],[COSTO POR UNIDAD DE PRODUCTO (17)]]*Tabla1[[#This Row],[COSTO UNITARIO AÑO 3 17]]*VLOOKUP(Tabla1[[#This Row],[CÓDIGO DEL PRODUCTO Y/O SERVICIO ]],Tabla3[],10,0)</calculatedColumnFormula>
    </tableColumn>
    <tableColumn id="342" xr3:uid="{00000000-0010-0000-0300-000056010000}" name="AÑO 4 17" dataDxfId="582">
      <calculatedColumnFormula>Tabla1[[#This Row],[COSTO POR UNIDAD DE PRODUCTO (17)]]*Tabla1[[#This Row],[COSTO UNITARIO AÑO 4 17]]*VLOOKUP(Tabla1[[#This Row],[CÓDIGO DEL PRODUCTO Y/O SERVICIO ]],Tabla3[],14,0)</calculatedColumnFormula>
    </tableColumn>
    <tableColumn id="343" xr3:uid="{00000000-0010-0000-0300-000057010000}" name="AÑO 5 17" dataDxfId="581">
      <calculatedColumnFormula>Tabla1[[#This Row],[COSTO POR UNIDAD DE PRODUCTO (17)]]*Tabla1[[#This Row],[COSTO UNITARIO AÑO 5 17]]*VLOOKUP(Tabla1[[#This Row],[CÓDIGO DEL PRODUCTO Y/O SERVICIO ]],Tabla3[],18,0)</calculatedColumnFormula>
    </tableColumn>
    <tableColumn id="344" xr3:uid="{00000000-0010-0000-0300-000058010000}" name="UNIDADES PRODUCIDAS AÑO 1 18 " dataDxfId="580">
      <calculatedColumnFormula>VLOOKUP(Tabla1[[#This Row],[CÓDIGO DEL PRODUCTO Y/O SERVICIO ]],Tabla3[],3,0)</calculatedColumnFormula>
    </tableColumn>
    <tableColumn id="345" xr3:uid="{00000000-0010-0000-0300-000059010000}" name="CANTIDADES A UTILIZAR  AÑO 1 18" dataDxfId="579">
      <calculatedColumnFormula>Tabla1[[#This Row],[UNIDADES PRODUCIDAS AÑO 1 18 ]]*W43</calculatedColumnFormula>
    </tableColumn>
    <tableColumn id="346" xr3:uid="{00000000-0010-0000-0300-00005A010000}" name="CAMBIO PORCENTUAL EN UNIDADES VENDIDAS AÑO 2 18" dataDxfId="578">
      <calculatedColumnFormula>VLOOKUP(Tabla1[[#This Row],[CÓDIGO DEL PRODUCTO Y/O SERVICIO ]],Tabla3[],9,0)</calculatedColumnFormula>
    </tableColumn>
    <tableColumn id="347" xr3:uid="{00000000-0010-0000-0300-00005B010000}" name="CANTIDADES A UTILIZAR AÑO 2 18" dataDxfId="577">
      <calculatedColumnFormula>Tabla1[[#This Row],[CANTIDADES A UTILIZAR  AÑO 1 18]]*(1+Tabla1[[#This Row],[CAMBIO PORCENTUAL EN UNIDADES VENDIDAS AÑO 2 18]])</calculatedColumnFormula>
    </tableColumn>
    <tableColumn id="348" xr3:uid="{00000000-0010-0000-0300-00005C010000}" name="CAMBIO PORCENTUAL EN UNIDADES VENDIDAS AÑO 3 18 " dataDxfId="576">
      <calculatedColumnFormula>VLOOKUP(Tabla1[[#This Row],[CÓDIGO DEL PRODUCTO Y/O SERVICIO ]],Tabla3[],13,0)</calculatedColumnFormula>
    </tableColumn>
    <tableColumn id="349" xr3:uid="{00000000-0010-0000-0300-00005D010000}" name="CANTIDADES A UTILIZAR  AÑO 3 18" dataDxfId="575">
      <calculatedColumnFormula>Tabla1[[#This Row],[CANTIDADES A UTILIZAR AÑO 2 18]]*(1+Tabla1[[#This Row],[CAMBIO PORCENTUAL EN UNIDADES VENDIDAS AÑO 3 18 ]])</calculatedColumnFormula>
    </tableColumn>
    <tableColumn id="350" xr3:uid="{00000000-0010-0000-0300-00005E010000}" name="CAMBIO PORCENTUAL EN UNIDADES VENDIDAS AÑO 4 18" dataDxfId="574">
      <calculatedColumnFormula>VLOOKUP(Tabla1[[#This Row],[CÓDIGO DEL PRODUCTO Y/O SERVICIO ]],Tabla3[],17,0)</calculatedColumnFormula>
    </tableColumn>
    <tableColumn id="351" xr3:uid="{00000000-0010-0000-0300-00005F010000}" name="CANTIDADES A UTILIZAR  AÑO 4 18 " dataDxfId="573">
      <calculatedColumnFormula>Tabla1[[#This Row],[CANTIDADES A UTILIZAR  AÑO 3 18]]*(1+Tabla1[[#This Row],[CAMBIO PORCENTUAL EN UNIDADES VENDIDAS AÑO 4 18]])</calculatedColumnFormula>
    </tableColumn>
    <tableColumn id="352" xr3:uid="{00000000-0010-0000-0300-000060010000}" name="CAMBIO PORCENTUAL EN UNIDADES VENDIDAS AÑO 5 18 " dataDxfId="572">
      <calculatedColumnFormula>VLOOKUP(Tabla1[[#This Row],[CÓDIGO DEL PRODUCTO Y/O SERVICIO ]],Tabla3[],21,0)</calculatedColumnFormula>
    </tableColumn>
    <tableColumn id="353" xr3:uid="{00000000-0010-0000-0300-000061010000}" name="CANTIDADES A UTILIZAR AÑO 5 18 " dataDxfId="571">
      <calculatedColumnFormula>Tabla1[[#This Row],[CANTIDADES A UTILIZAR  AÑO 4 18 ]]*(1+Tabla1[[#This Row],[CAMBIO PORCENTUAL EN UNIDADES VENDIDAS AÑO 5 18 ]])</calculatedColumnFormula>
    </tableColumn>
    <tableColumn id="354" xr3:uid="{00000000-0010-0000-0300-000062010000}" name="COSTO POR UNIDAD DE PRODUCTO (18)" dataDxfId="570">
      <calculatedColumnFormula>IF(Tabla1[[#This Row],[CANTIDADES A UTILIZAR  AÑO 1 18]]=0,0,Tabla1[[#This Row],[CANTIDADES A UTILIZAR  AÑO 1 18]]*1/Tabla1[[#This Row],[UNIDADES PRODUCIDAS AÑO 1 18 ]])</calculatedColumnFormula>
    </tableColumn>
    <tableColumn id="355" xr3:uid="{00000000-0010-0000-0300-000063010000}" name="COSTO UNITARIO AÑO 2 18" dataDxfId="569">
      <calculatedColumnFormula>$D$33*(1+BASES!$E$14)</calculatedColumnFormula>
    </tableColumn>
    <tableColumn id="356" xr3:uid="{00000000-0010-0000-0300-000064010000}" name="COSTO UNITARIO AÑO 3 18 " dataDxfId="568">
      <calculatedColumnFormula>Tabla1[[#This Row],[COSTO UNITARIO AÑO 2 18]]*(1+BASES!$F$14)</calculatedColumnFormula>
    </tableColumn>
    <tableColumn id="357" xr3:uid="{00000000-0010-0000-0300-000065010000}" name="COSTO UNITARIO AÑO 4 18 " dataDxfId="567">
      <calculatedColumnFormula>Tabla1[[#This Row],[COSTO UNITARIO AÑO 3 18 ]]*(1+BASES!$G$14)</calculatedColumnFormula>
    </tableColumn>
    <tableColumn id="358" xr3:uid="{00000000-0010-0000-0300-000066010000}" name="COSTO UNITARIO AÑO 5 18 " dataDxfId="566">
      <calculatedColumnFormula>Tabla1[[#This Row],[COSTO UNITARIO AÑO 4 18 ]]*(1+BASES!$H$14)</calculatedColumnFormula>
    </tableColumn>
    <tableColumn id="359" xr3:uid="{00000000-0010-0000-0300-000067010000}" name="AÑO 1 18 " dataDxfId="565">
      <calculatedColumnFormula>Tabla1[[#This Row],[COSTO POR UNIDAD DE PRODUCTO (18)]]*$D$33*VLOOKUP(Tabla1[[#This Row],[CÓDIGO DEL PRODUCTO Y/O SERVICIO ]],Tabla3[],3,0)</calculatedColumnFormula>
    </tableColumn>
    <tableColumn id="360" xr3:uid="{00000000-0010-0000-0300-000068010000}" name="AÑO 2 18 " dataDxfId="564">
      <calculatedColumnFormula>Tabla1[[#This Row],[COSTO POR UNIDAD DE PRODUCTO (18)]]*Tabla1[[#This Row],[COSTO UNITARIO AÑO 2 18]]*VLOOKUP(Tabla1[[#This Row],[CÓDIGO DEL PRODUCTO Y/O SERVICIO ]],Tabla3[],6,0)</calculatedColumnFormula>
    </tableColumn>
    <tableColumn id="361" xr3:uid="{00000000-0010-0000-0300-000069010000}" name="AÑO 3 18 " dataDxfId="563">
      <calculatedColumnFormula>Tabla1[[#This Row],[COSTO POR UNIDAD DE PRODUCTO (18)]]*Tabla1[[#This Row],[COSTO UNITARIO AÑO 3 18 ]]*VLOOKUP(Tabla1[[#This Row],[CÓDIGO DEL PRODUCTO Y/O SERVICIO ]],Tabla3[],10,0)</calculatedColumnFormula>
    </tableColumn>
    <tableColumn id="362" xr3:uid="{00000000-0010-0000-0300-00006A010000}" name="AÑO 4 18 " dataDxfId="562">
      <calculatedColumnFormula>Tabla1[[#This Row],[COSTO POR UNIDAD DE PRODUCTO (18)]]*Tabla1[[#This Row],[COSTO UNITARIO AÑO 4 18 ]]*VLOOKUP(Tabla1[[#This Row],[CÓDIGO DEL PRODUCTO Y/O SERVICIO ]],Tabla3[],14,0)</calculatedColumnFormula>
    </tableColumn>
    <tableColumn id="363" xr3:uid="{00000000-0010-0000-0300-00006B010000}" name="AÑO 5 18 " dataDxfId="561">
      <calculatedColumnFormula>Tabla1[[#This Row],[COSTO POR UNIDAD DE PRODUCTO (18)]]*Tabla1[[#This Row],[COSTO UNITARIO AÑO 5 18 ]]*VLOOKUP(Tabla1[[#This Row],[CÓDIGO DEL PRODUCTO Y/O SERVICIO ]],Tabla3[],18,0)</calculatedColumnFormula>
    </tableColumn>
    <tableColumn id="364" xr3:uid="{00000000-0010-0000-0300-00006C010000}" name="UNIDADES PRODUCIDAS AÑO 1 19" dataDxfId="560">
      <calculatedColumnFormula>VLOOKUP(Tabla1[[#This Row],[CÓDIGO DEL PRODUCTO Y/O SERVICIO ]],Tabla3[],3,0)</calculatedColumnFormula>
    </tableColumn>
    <tableColumn id="365" xr3:uid="{00000000-0010-0000-0300-00006D010000}" name="CANTIDADES A UTILIZAR  AÑO 1 19 " dataDxfId="559">
      <calculatedColumnFormula>Tabla1[[#This Row],[UNIDADES PRODUCIDAS AÑO 1 19]]*X43</calculatedColumnFormula>
    </tableColumn>
    <tableColumn id="366" xr3:uid="{00000000-0010-0000-0300-00006E010000}" name="CAMBIO PORCENTUAL EN UNIDADES VENDIDAS AÑO 2 19" dataDxfId="558">
      <calculatedColumnFormula>VLOOKUP(Tabla1[[#This Row],[CÓDIGO DEL PRODUCTO Y/O SERVICIO ]],Tabla3[],9,0)</calculatedColumnFormula>
    </tableColumn>
    <tableColumn id="367" xr3:uid="{00000000-0010-0000-0300-00006F010000}" name="CANTIDADES A UTILIZAR  AÑO 2 19 " dataDxfId="557">
      <calculatedColumnFormula>Tabla1[[#This Row],[CANTIDADES A UTILIZAR  AÑO 1 19 ]]*(1+Tabla1[[#This Row],[CAMBIO PORCENTUAL EN UNIDADES VENDIDAS AÑO 2 19]])</calculatedColumnFormula>
    </tableColumn>
    <tableColumn id="368" xr3:uid="{00000000-0010-0000-0300-000070010000}" name="CAMBIO PORCENTUAL EN UNIDADES VENDIDAS AÑO 3 19 " dataDxfId="556">
      <calculatedColumnFormula>VLOOKUP(Tabla1[[#This Row],[CÓDIGO DEL PRODUCTO Y/O SERVICIO ]],Tabla3[],13,0)</calculatedColumnFormula>
    </tableColumn>
    <tableColumn id="369" xr3:uid="{00000000-0010-0000-0300-000071010000}" name="CANTIDADES A UTILIZAR  AÑO 3 19 " dataDxfId="555">
      <calculatedColumnFormula>Tabla1[[#This Row],[CANTIDADES A UTILIZAR  AÑO 2 19 ]]*(1+Tabla1[[#This Row],[CAMBIO PORCENTUAL EN UNIDADES VENDIDAS AÑO 3 19 ]])</calculatedColumnFormula>
    </tableColumn>
    <tableColumn id="370" xr3:uid="{00000000-0010-0000-0300-000072010000}" name="CAMBIO PORCENTUAL EN UNIDADES VENDIDAS AÑO 4 19 " dataDxfId="554">
      <calculatedColumnFormula>VLOOKUP(Tabla1[[#This Row],[CÓDIGO DEL PRODUCTO Y/O SERVICIO ]],Tabla3[],17,0)</calculatedColumnFormula>
    </tableColumn>
    <tableColumn id="371" xr3:uid="{00000000-0010-0000-0300-000073010000}" name="CANTIDADES A UTILIZAR AÑO 4 19 " dataDxfId="553">
      <calculatedColumnFormula>Tabla1[[#This Row],[CANTIDADES A UTILIZAR  AÑO 3 19 ]]*(1+Tabla1[[#This Row],[CAMBIO PORCENTUAL EN UNIDADES VENDIDAS AÑO 4 19 ]])</calculatedColumnFormula>
    </tableColumn>
    <tableColumn id="372" xr3:uid="{00000000-0010-0000-0300-000074010000}" name="CAMBIO PORCENTUAL EN UNIDADES VENDIDAS AÑO 5 19 " dataDxfId="552">
      <calculatedColumnFormula>VLOOKUP(Tabla1[[#This Row],[CÓDIGO DEL PRODUCTO Y/O SERVICIO ]],Tabla3[],21,0)</calculatedColumnFormula>
    </tableColumn>
    <tableColumn id="373" xr3:uid="{00000000-0010-0000-0300-000075010000}" name="CANTIDADES A UTILIZAR AÑO 5 19 " dataDxfId="551">
      <calculatedColumnFormula>Tabla1[[#This Row],[CANTIDADES A UTILIZAR AÑO 4 19 ]]*(1+Tabla1[[#This Row],[CAMBIO PORCENTUAL EN UNIDADES VENDIDAS AÑO 5 19 ]])</calculatedColumnFormula>
    </tableColumn>
    <tableColumn id="374" xr3:uid="{00000000-0010-0000-0300-000076010000}" name="COSTO POR UNIDAD DE PRODUCTO (19)" dataDxfId="550">
      <calculatedColumnFormula>IF(Tabla1[[#This Row],[CANTIDADES A UTILIZAR  AÑO 1 19 ]]=0,0,Tabla1[[#This Row],[CANTIDADES A UTILIZAR  AÑO 1 19 ]]*1/Tabla1[[#This Row],[UNIDADES PRODUCIDAS AÑO 1 19]])</calculatedColumnFormula>
    </tableColumn>
    <tableColumn id="375" xr3:uid="{00000000-0010-0000-0300-000077010000}" name="COSTO UNITARIO AÑO 2 19 " dataDxfId="549">
      <calculatedColumnFormula>$D$34*(1+BASES!$E$14)</calculatedColumnFormula>
    </tableColumn>
    <tableColumn id="376" xr3:uid="{00000000-0010-0000-0300-000078010000}" name="COSTO UNITARIO AÑO 3 19 " dataDxfId="548">
      <calculatedColumnFormula>Tabla1[[#This Row],[COSTO UNITARIO AÑO 2 19 ]]*(1+BASES!$F$14)</calculatedColumnFormula>
    </tableColumn>
    <tableColumn id="377" xr3:uid="{00000000-0010-0000-0300-000079010000}" name="COSTO UNITARIO AÑO 4 19 " dataDxfId="547">
      <calculatedColumnFormula>Tabla1[[#This Row],[COSTO UNITARIO AÑO 3 19 ]]*(1+BASES!$G$14)</calculatedColumnFormula>
    </tableColumn>
    <tableColumn id="378" xr3:uid="{00000000-0010-0000-0300-00007A010000}" name="COSTO UNITARIO AÑO 5 19 " dataDxfId="546">
      <calculatedColumnFormula>Tabla1[[#This Row],[COSTO UNITARIO AÑO 4 19 ]]*(1+BASES!$H$14)</calculatedColumnFormula>
    </tableColumn>
    <tableColumn id="379" xr3:uid="{00000000-0010-0000-0300-00007B010000}" name="AÑO 1 19 " dataDxfId="545">
      <calculatedColumnFormula>Tabla1[[#This Row],[COSTO POR UNIDAD DE PRODUCTO (19)]]*$D$34*VLOOKUP(Tabla1[[#This Row],[CÓDIGO DEL PRODUCTO Y/O SERVICIO ]],Tabla3[],3,0)</calculatedColumnFormula>
    </tableColumn>
    <tableColumn id="380" xr3:uid="{00000000-0010-0000-0300-00007C010000}" name="AÑO 2 19 " dataDxfId="544">
      <calculatedColumnFormula>Tabla1[[#This Row],[COSTO POR UNIDAD DE PRODUCTO (19)]]*Tabla1[[#This Row],[COSTO UNITARIO AÑO 2 19 ]]*VLOOKUP(Tabla1[[#This Row],[CÓDIGO DEL PRODUCTO Y/O SERVICIO ]],Tabla3[],6,0)</calculatedColumnFormula>
    </tableColumn>
    <tableColumn id="381" xr3:uid="{00000000-0010-0000-0300-00007D010000}" name="AÑO 3 19 " dataDxfId="543">
      <calculatedColumnFormula>Tabla1[[#This Row],[COSTO POR UNIDAD DE PRODUCTO (19)]]*Tabla1[[#This Row],[COSTO UNITARIO AÑO 3 19 ]]*VLOOKUP(Tabla1[[#This Row],[CÓDIGO DEL PRODUCTO Y/O SERVICIO ]],Tabla3[],10,0)</calculatedColumnFormula>
    </tableColumn>
    <tableColumn id="382" xr3:uid="{00000000-0010-0000-0300-00007E010000}" name="AÑO 4 19 " dataDxfId="542">
      <calculatedColumnFormula>Tabla1[[#This Row],[COSTO POR UNIDAD DE PRODUCTO (19)]]*Tabla1[[#This Row],[COSTO UNITARIO AÑO 4 19 ]]*VLOOKUP(Tabla1[[#This Row],[CÓDIGO DEL PRODUCTO Y/O SERVICIO ]],Tabla3[],14,0)</calculatedColumnFormula>
    </tableColumn>
    <tableColumn id="383" xr3:uid="{00000000-0010-0000-0300-00007F010000}" name="AÑO 5 19 " dataDxfId="541">
      <calculatedColumnFormula>Tabla1[[#This Row],[COSTO POR UNIDAD DE PRODUCTO (19)]]*Tabla1[[#This Row],[COSTO UNITARIO AÑO 5 19 ]]*VLOOKUP(Tabla1[[#This Row],[CÓDIGO DEL PRODUCTO Y/O SERVICIO ]],Tabla3[],18,0)</calculatedColumnFormula>
    </tableColumn>
    <tableColumn id="384" xr3:uid="{00000000-0010-0000-0300-000080010000}" name="UNIDADES PRODUCIDAS AÑO 1 20 " dataDxfId="540">
      <calculatedColumnFormula>VLOOKUP(Tabla1[[#This Row],[CÓDIGO DEL PRODUCTO Y/O SERVICIO ]],Tabla3[],3,0)</calculatedColumnFormula>
    </tableColumn>
    <tableColumn id="385" xr3:uid="{00000000-0010-0000-0300-000081010000}" name="CANTIDADES A UTILIZAR AÑO 1 20" dataDxfId="539">
      <calculatedColumnFormula>Tabla1[[#This Row],[UNIDADES PRODUCIDAS AÑO 1 20 ]]*Y43</calculatedColumnFormula>
    </tableColumn>
    <tableColumn id="386" xr3:uid="{00000000-0010-0000-0300-000082010000}" name="CAMBIO PORCENTUAL EN UNIDADES VENDIDAS AÑO 2 20 " dataDxfId="538">
      <calculatedColumnFormula>VLOOKUP(Tabla1[[#This Row],[CÓDIGO DEL PRODUCTO Y/O SERVICIO ]],Tabla3[],9,0)</calculatedColumnFormula>
    </tableColumn>
    <tableColumn id="387" xr3:uid="{00000000-0010-0000-0300-000083010000}" name="CANTIDADES A UTILIZAR  AÑO 2 20 " dataDxfId="537">
      <calculatedColumnFormula>Tabla1[[#This Row],[CANTIDADES A UTILIZAR AÑO 1 20]]*(1+Tabla1[[#This Row],[CAMBIO PORCENTUAL EN UNIDADES VENDIDAS AÑO 2 20 ]])</calculatedColumnFormula>
    </tableColumn>
    <tableColumn id="388" xr3:uid="{00000000-0010-0000-0300-000084010000}" name="CAMBIO PORCENTUAL EN UNIDADES VENDIDAS AÑO 3 20 " dataDxfId="536">
      <calculatedColumnFormula>VLOOKUP(Tabla1[[#This Row],[CÓDIGO DEL PRODUCTO Y/O SERVICIO ]],Tabla3[],13,0)</calculatedColumnFormula>
    </tableColumn>
    <tableColumn id="389" xr3:uid="{00000000-0010-0000-0300-000085010000}" name="CANTIDADES A UTILIZAR  AÑO 3 20 " dataDxfId="535">
      <calculatedColumnFormula>Tabla1[[#This Row],[CANTIDADES A UTILIZAR  AÑO 2 20 ]]*(1+Tabla1[[#This Row],[CAMBIO PORCENTUAL EN UNIDADES VENDIDAS AÑO 3 20 ]])</calculatedColumnFormula>
    </tableColumn>
    <tableColumn id="390" xr3:uid="{00000000-0010-0000-0300-000086010000}" name="CAMBIO PORCENTUAL EN UNIDADES VENDIDAS AÑO 4 20 " dataDxfId="534">
      <calculatedColumnFormula>VLOOKUP(Tabla1[[#This Row],[CÓDIGO DEL PRODUCTO Y/O SERVICIO ]],Tabla3[],17,0)</calculatedColumnFormula>
    </tableColumn>
    <tableColumn id="391" xr3:uid="{00000000-0010-0000-0300-000087010000}" name="CANTIDADES A UTILIZAR  AÑO 4 20 " dataDxfId="533">
      <calculatedColumnFormula>Tabla1[[#This Row],[CANTIDADES A UTILIZAR  AÑO 3 20 ]]*(1+Tabla1[[#This Row],[CAMBIO PORCENTUAL EN UNIDADES VENDIDAS AÑO 4 20 ]])</calculatedColumnFormula>
    </tableColumn>
    <tableColumn id="392" xr3:uid="{00000000-0010-0000-0300-000088010000}" name="CAMBIO PORCENTUAL EN UNIDADES VENDIDAS AÑO 5 20 " dataDxfId="532">
      <calculatedColumnFormula>VLOOKUP(Tabla1[[#This Row],[CÓDIGO DEL PRODUCTO Y/O SERVICIO ]],Tabla3[],21,0)</calculatedColumnFormula>
    </tableColumn>
    <tableColumn id="393" xr3:uid="{00000000-0010-0000-0300-000089010000}" name="CANTIDADES A UTILIZAR AÑO 5 20 " dataDxfId="531">
      <calculatedColumnFormula>Tabla1[[#This Row],[CANTIDADES A UTILIZAR  AÑO 4 20 ]]*(1+Tabla1[[#This Row],[CAMBIO PORCENTUAL EN UNIDADES VENDIDAS AÑO 5 20 ]])</calculatedColumnFormula>
    </tableColumn>
    <tableColumn id="394" xr3:uid="{00000000-0010-0000-0300-00008A010000}" name="COSTO POR UNIDAD DE PRODUCTO (20)" dataDxfId="530">
      <calculatedColumnFormula>IF(Tabla1[[#This Row],[CANTIDADES A UTILIZAR AÑO 1 20]]=0,0,Tabla1[[#This Row],[CANTIDADES A UTILIZAR AÑO 1 20]]*1/Tabla1[[#This Row],[UNIDADES PRODUCIDAS AÑO 1 20 ]])</calculatedColumnFormula>
    </tableColumn>
    <tableColumn id="395" xr3:uid="{00000000-0010-0000-0300-00008B010000}" name="COSTO UNITARIO AÑO 2 20 " dataDxfId="529">
      <calculatedColumnFormula>$D$35*(1+BASES!$E$14)</calculatedColumnFormula>
    </tableColumn>
    <tableColumn id="396" xr3:uid="{00000000-0010-0000-0300-00008C010000}" name="COSTO UNITARIO AÑO 3 20 " dataDxfId="528">
      <calculatedColumnFormula>Tabla1[[#This Row],[COSTO UNITARIO AÑO 2 20 ]]*(1+BASES!$F$14)</calculatedColumnFormula>
    </tableColumn>
    <tableColumn id="397" xr3:uid="{00000000-0010-0000-0300-00008D010000}" name="COSTO UNITARIO AÑO 4 20 " dataDxfId="527">
      <calculatedColumnFormula>Tabla1[[#This Row],[COSTO UNITARIO AÑO 3 20 ]]*(1+BASES!$G$14)</calculatedColumnFormula>
    </tableColumn>
    <tableColumn id="398" xr3:uid="{00000000-0010-0000-0300-00008E010000}" name="COSTO UNITARIO AÑO 5 20 " dataDxfId="526">
      <calculatedColumnFormula>Tabla1[[#This Row],[COSTO UNITARIO AÑO 4 20 ]]*(1+BASES!$H$14)</calculatedColumnFormula>
    </tableColumn>
    <tableColumn id="399" xr3:uid="{00000000-0010-0000-0300-00008F010000}" name="AÑO 1 20 " dataDxfId="525">
      <calculatedColumnFormula>Tabla1[[#This Row],[COSTO POR UNIDAD DE PRODUCTO (20)]]*$D$35*VLOOKUP(Tabla1[[#This Row],[CÓDIGO DEL PRODUCTO Y/O SERVICIO ]],Tabla3[],3,0)</calculatedColumnFormula>
    </tableColumn>
    <tableColumn id="400" xr3:uid="{00000000-0010-0000-0300-000090010000}" name="AÑO 2 20 " dataDxfId="524">
      <calculatedColumnFormula>Tabla1[[#This Row],[COSTO POR UNIDAD DE PRODUCTO (20)]]*Tabla1[[#This Row],[COSTO UNITARIO AÑO 2 20 ]]*VLOOKUP(Tabla1[[#This Row],[CÓDIGO DEL PRODUCTO Y/O SERVICIO ]],Tabla3[],6,0)</calculatedColumnFormula>
    </tableColumn>
    <tableColumn id="401" xr3:uid="{00000000-0010-0000-0300-000091010000}" name="AÑO 3 20 " dataDxfId="523">
      <calculatedColumnFormula>Tabla1[[#This Row],[COSTO POR UNIDAD DE PRODUCTO (20)]]*Tabla1[[#This Row],[COSTO UNITARIO AÑO 3 20 ]]*VLOOKUP(Tabla1[[#This Row],[CÓDIGO DEL PRODUCTO Y/O SERVICIO ]],Tabla3[],10,0)</calculatedColumnFormula>
    </tableColumn>
    <tableColumn id="402" xr3:uid="{00000000-0010-0000-0300-000092010000}" name="AÑO 4 20 " dataDxfId="522">
      <calculatedColumnFormula>Tabla1[[#This Row],[COSTO POR UNIDAD DE PRODUCTO (20)]]*Tabla1[[#This Row],[COSTO UNITARIO AÑO 4 20 ]]*VLOOKUP(Tabla1[[#This Row],[CÓDIGO DEL PRODUCTO Y/O SERVICIO ]],Tabla3[],14,0)</calculatedColumnFormula>
    </tableColumn>
    <tableColumn id="403" xr3:uid="{00000000-0010-0000-0300-000093010000}" name="AÑO 5 20 " dataDxfId="521">
      <calculatedColumnFormula>Tabla1[[#This Row],[COSTO POR UNIDAD DE PRODUCTO (20)]]*Tabla1[[#This Row],[COSTO UNITARIO AÑO 5 20 ]]*VLOOKUP(Tabla1[[#This Row],[CÓDIGO DEL PRODUCTO Y/O SERVICIO ]],Tabla3[],18,0)</calculatedColumnFormula>
    </tableColumn>
    <tableColumn id="404" xr3:uid="{00000000-0010-0000-0300-000094010000}" name="AÑO 1 21" dataDxfId="520">
      <calculatedColumnFormula>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calculatedColumnFormula>
    </tableColumn>
    <tableColumn id="405" xr3:uid="{00000000-0010-0000-0300-000095010000}" name="AÑO 2 21" dataDxfId="519">
      <calculatedColumnFormula>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calculatedColumnFormula>
    </tableColumn>
    <tableColumn id="406" xr3:uid="{00000000-0010-0000-0300-000096010000}" name="AÑO 3 21" dataDxfId="518">
      <calculatedColumnFormula>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calculatedColumnFormula>
    </tableColumn>
    <tableColumn id="407" xr3:uid="{00000000-0010-0000-0300-000097010000}" name="AÑO 4 21" dataDxfId="517">
      <calculatedColumnFormula>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calculatedColumnFormula>
    </tableColumn>
    <tableColumn id="408" xr3:uid="{00000000-0010-0000-0300-000098010000}" name="AÑO 5 21" dataDxfId="516">
      <calculatedColumnFormula>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a4" displayName="Tabla4" ref="B73:C83" totalsRowShown="0" headerRowDxfId="515" dataDxfId="514">
  <autoFilter ref="B73:C83" xr:uid="{00000000-0009-0000-0100-000004000000}"/>
  <tableColumns count="2">
    <tableColumn id="1" xr3:uid="{00000000-0010-0000-0400-000001000000}" name="MANO DE OBRA DIRECTA " dataDxfId="513"/>
    <tableColumn id="2" xr3:uid="{00000000-0010-0000-0400-000002000000}" name="COSTO UNITARIO PARA EL AÑO 1 " dataDxfId="51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Tabla10" displayName="Tabla10" ref="C90:D91" totalsRowShown="0" headerRowDxfId="511" dataDxfId="510">
  <autoFilter ref="C90:D91" xr:uid="{00000000-0009-0000-0100-00000A000000}"/>
  <tableColumns count="2">
    <tableColumn id="1" xr3:uid="{00000000-0010-0000-0500-000001000000}" name="CÓDIGO DEL PRODUCTO Y/O SERVICIO " dataDxfId="509"/>
    <tableColumn id="2" xr3:uid="{00000000-0010-0000-0500-000002000000}" name="NOMBRE DEL PRODUCTO Y/O SERVICIO " dataDxfId="508">
      <calculatedColumnFormula>VLOOKUP(Tabla10[[#This Row],[CÓDIGO DEL PRODUCTO Y/O SERVICIO ]],Tabla3[],2,0)</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6000000}" name="Tabla13" displayName="Tabla13" ref="B125:C135" totalsRowShown="0" headerRowDxfId="507" dataDxfId="506">
  <autoFilter ref="B125:C135" xr:uid="{00000000-0009-0000-0100-00000D000000}"/>
  <tableColumns count="2">
    <tableColumn id="1" xr3:uid="{00000000-0010-0000-0600-000001000000}" name="COSTO INDIRECTO" dataDxfId="505"/>
    <tableColumn id="2" xr3:uid="{00000000-0010-0000-0600-000002000000}" name="COSTO UNITARIO PARA EL AÑO 1 " dataDxfId="50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7000000}" name="Tabla14" displayName="Tabla14" ref="C142:D143" totalsRowShown="0" headerRowDxfId="503" dataDxfId="502">
  <autoFilter ref="C142:D143" xr:uid="{00000000-0009-0000-0100-00000E000000}"/>
  <tableColumns count="2">
    <tableColumn id="1" xr3:uid="{00000000-0010-0000-0700-000001000000}" name="CÓDIGO DEL PRODUCTO Y/O SERVICIO " dataDxfId="501"/>
    <tableColumn id="2" xr3:uid="{00000000-0010-0000-0700-000002000000}" name="NOMBRE DEL PRODUCTO Y/O SERVICIO " dataDxfId="500">
      <calculatedColumnFormula>VLOOKUP(Tabla14[[#This Row],[CÓDIGO DEL PRODUCTO Y/O SERVICIO ]],Tabla3[],2,0)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8000000}" name="Tabla16" displayName="Tabla16" ref="C106:HB107" totalsRowShown="0" headerRowDxfId="499" dataDxfId="498">
  <autoFilter ref="C106:HB107" xr:uid="{00000000-0009-0000-0100-000010000000}"/>
  <tableColumns count="208">
    <tableColumn id="1" xr3:uid="{00000000-0010-0000-0800-000001000000}" name="CÓDIGO DEL PRODUCTO Y/O SERVICIO " dataDxfId="497"/>
    <tableColumn id="2" xr3:uid="{00000000-0010-0000-0800-000002000000}" name="NOMBRE DEL PRODUCTO Y/O SERVICIO " dataDxfId="496">
      <calculatedColumnFormula>VLOOKUP(Tabla16[[#This Row],[CÓDIGO DEL PRODUCTO Y/O SERVICIO ]],Tabla3[],2,0)</calculatedColumnFormula>
    </tableColumn>
    <tableColumn id="3" xr3:uid="{00000000-0010-0000-0800-000003000000}" name="Columna1" dataDxfId="495"/>
    <tableColumn id="4" xr3:uid="{00000000-0010-0000-0800-000004000000}" name="UNIDADES PRODUCIDAS AÑO 1 1" dataDxfId="494">
      <calculatedColumnFormula>VLOOKUP(Tabla16[[#This Row],[CÓDIGO DEL PRODUCTO Y/O SERVICIO ]],Tabla3[],3,0)</calculatedColumnFormula>
    </tableColumn>
    <tableColumn id="5" xr3:uid="{00000000-0010-0000-0800-000005000000}" name="CANTIDADES A UTILIZAR EN EL AÑO 1 1" dataDxfId="493">
      <calculatedColumnFormula>Tabla16[[#This Row],[UNIDADES PRODUCIDAS AÑO 1 1]]*F91</calculatedColumnFormula>
    </tableColumn>
    <tableColumn id="6" xr3:uid="{00000000-0010-0000-0800-000006000000}" name="CAMBIO PORCENTUAL EN UNIDADES VENDIDAS AÑO 2 1" dataDxfId="492">
      <calculatedColumnFormula>VLOOKUP(Tabla16[[#This Row],[CÓDIGO DEL PRODUCTO Y/O SERVICIO ]],Tabla3[],9,0)</calculatedColumnFormula>
    </tableColumn>
    <tableColumn id="7" xr3:uid="{00000000-0010-0000-0800-000007000000}" name="CANTIDADES  A UTILIZAR EN EL AÑO 2 1" dataDxfId="491">
      <calculatedColumnFormula>Tabla16[[#This Row],[CANTIDADES A UTILIZAR EN EL AÑO 1 1]]*(1+Tabla16[[#This Row],[CAMBIO PORCENTUAL EN UNIDADES VENDIDAS AÑO 2 1]])</calculatedColumnFormula>
    </tableColumn>
    <tableColumn id="8" xr3:uid="{00000000-0010-0000-0800-000008000000}" name="CAMBIO PORCENTUAL EN UNIDADES VENDIDAS AÑO 3 1" dataDxfId="490">
      <calculatedColumnFormula>VLOOKUP(Tabla16[[#This Row],[CÓDIGO DEL PRODUCTO Y/O SERVICIO ]],Tabla3[],13,0)</calculatedColumnFormula>
    </tableColumn>
    <tableColumn id="9" xr3:uid="{00000000-0010-0000-0800-000009000000}" name="CANTIDADES A UTILIZAR EN EL AÑO 3 1" dataDxfId="489">
      <calculatedColumnFormula>Tabla16[[#This Row],[CANTIDADES  A UTILIZAR EN EL AÑO 2 1]]*(1+Tabla16[[#This Row],[CAMBIO PORCENTUAL EN UNIDADES VENDIDAS AÑO 3 1]])</calculatedColumnFormula>
    </tableColumn>
    <tableColumn id="10" xr3:uid="{00000000-0010-0000-0800-00000A000000}" name="CAMBIO PORCENTUAL EN UNIDADES VENDIDAS AÑO 4 1" dataDxfId="488">
      <calculatedColumnFormula>VLOOKUP(Tabla16[[#This Row],[CÓDIGO DEL PRODUCTO Y/O SERVICIO ]],Tabla3[],17,0)</calculatedColumnFormula>
    </tableColumn>
    <tableColumn id="11" xr3:uid="{00000000-0010-0000-0800-00000B000000}" name="CANTIDADES A UTILIZAR EN EL AÑO 4 1 " dataDxfId="487">
      <calculatedColumnFormula>Tabla16[[#This Row],[CANTIDADES A UTILIZAR EN EL AÑO 3 1]]*(1+Tabla16[[#This Row],[CAMBIO PORCENTUAL EN UNIDADES VENDIDAS AÑO 4 1]])</calculatedColumnFormula>
    </tableColumn>
    <tableColumn id="12" xr3:uid="{00000000-0010-0000-0800-00000C000000}" name="CAMBIO PORCENTUAL EN UNIDADES VENDIDAS AÑO 5 1" dataDxfId="486">
      <calculatedColumnFormula>VLOOKUP(Tabla16[[#This Row],[CÓDIGO DEL PRODUCTO Y/O SERVICIO ]],Tabla3[],21,0)</calculatedColumnFormula>
    </tableColumn>
    <tableColumn id="13" xr3:uid="{00000000-0010-0000-0800-00000D000000}" name="CANTIDADES A UTILIZAR AÑO 5 1" dataDxfId="485">
      <calculatedColumnFormula>Tabla16[[#This Row],[CANTIDADES A UTILIZAR EN EL AÑO 4 1 ]]*(1+Tabla16[[#This Row],[CAMBIO PORCENTUAL EN UNIDADES VENDIDAS AÑO 5 1]])</calculatedColumnFormula>
    </tableColumn>
    <tableColumn id="14" xr3:uid="{00000000-0010-0000-0800-00000E000000}" name="COSTO POR UNIDAD DE PRODUCTO (1)" dataDxfId="484">
      <calculatedColumnFormula>IF(Tabla16[[#This Row],[CANTIDADES A UTILIZAR EN EL AÑO 1 1]]=0,0,Tabla16[[#This Row],[CANTIDADES A UTILIZAR EN EL AÑO 1 1]]*1/Tabla16[[#This Row],[UNIDADES PRODUCIDAS AÑO 1 1]])</calculatedColumnFormula>
    </tableColumn>
    <tableColumn id="15" xr3:uid="{00000000-0010-0000-0800-00000F000000}" name="COSTO UNITARIO AÑO 2 1" dataDxfId="483">
      <calculatedColumnFormula>$C$74*(1+BASES!$E$14)</calculatedColumnFormula>
    </tableColumn>
    <tableColumn id="16" xr3:uid="{00000000-0010-0000-0800-000010000000}" name="COSTO UNITARIO AÑO 3 1" dataDxfId="482">
      <calculatedColumnFormula>Tabla16[[#This Row],[COSTO UNITARIO AÑO 2 1]]*(1+BASES!$F$14)</calculatedColumnFormula>
    </tableColumn>
    <tableColumn id="17" xr3:uid="{00000000-0010-0000-0800-000011000000}" name="COSTO UNITARIO AÑO 4 1" dataDxfId="481">
      <calculatedColumnFormula>Tabla16[[#This Row],[COSTO UNITARIO AÑO 3 1]]*(1+BASES!$G$14)</calculatedColumnFormula>
    </tableColumn>
    <tableColumn id="18" xr3:uid="{00000000-0010-0000-0800-000012000000}" name="COSTO UNITARIO AÑO 5 1" dataDxfId="480">
      <calculatedColumnFormula>Tabla16[[#This Row],[COSTO UNITARIO AÑO 4 1]]*(1+BASES!$H$14)</calculatedColumnFormula>
    </tableColumn>
    <tableColumn id="19" xr3:uid="{00000000-0010-0000-0800-000013000000}" name="AÑO 1 1" dataDxfId="479">
      <calculatedColumnFormula>Tabla16[[#This Row],[COSTO POR UNIDAD DE PRODUCTO (1)]]*$C$74*VLOOKUP(Tabla16[[#This Row],[CÓDIGO DEL PRODUCTO Y/O SERVICIO ]],Tabla3[],3,0)</calculatedColumnFormula>
    </tableColumn>
    <tableColumn id="20" xr3:uid="{00000000-0010-0000-0800-000014000000}" name="AÑO 2 1" dataDxfId="478">
      <calculatedColumnFormula>Tabla16[[#This Row],[COSTO POR UNIDAD DE PRODUCTO (1)]]*Tabla16[[#This Row],[COSTO UNITARIO AÑO 2 1]]*VLOOKUP(Tabla16[[#This Row],[CÓDIGO DEL PRODUCTO Y/O SERVICIO ]],Tabla3[],6,0)</calculatedColumnFormula>
    </tableColumn>
    <tableColumn id="21" xr3:uid="{00000000-0010-0000-0800-000015000000}" name="AÑO 3 1" dataDxfId="477">
      <calculatedColumnFormula>Tabla16[[#This Row],[COSTO POR UNIDAD DE PRODUCTO (1)]]*Tabla16[[#This Row],[COSTO UNITARIO AÑO 3 1]]*VLOOKUP(Tabla16[[#This Row],[CÓDIGO DEL PRODUCTO Y/O SERVICIO ]],Tabla3[],10,0)</calculatedColumnFormula>
    </tableColumn>
    <tableColumn id="22" xr3:uid="{00000000-0010-0000-0800-000016000000}" name="AÑO 4 1" dataDxfId="476">
      <calculatedColumnFormula>Tabla16[[#This Row],[COSTO POR UNIDAD DE PRODUCTO (1)]]*Tabla16[[#This Row],[COSTO UNITARIO AÑO 4 1]]*VLOOKUP(Tabla16[[#This Row],[CÓDIGO DEL PRODUCTO Y/O SERVICIO ]],Tabla3[],14,0)</calculatedColumnFormula>
    </tableColumn>
    <tableColumn id="23" xr3:uid="{00000000-0010-0000-0800-000017000000}" name="AÑO 5 1" dataDxfId="475">
      <calculatedColumnFormula>Tabla16[[#This Row],[COSTO POR UNIDAD DE PRODUCTO (1)]]*Tabla16[[#This Row],[COSTO UNITARIO AÑO 5 1]]*VLOOKUP(Tabla16[[#This Row],[CÓDIGO DEL PRODUCTO Y/O SERVICIO ]],Tabla3[],18,0)</calculatedColumnFormula>
    </tableColumn>
    <tableColumn id="24" xr3:uid="{00000000-0010-0000-0800-000018000000}" name="UNIDADES PRODUCIDAS AÑO 1 2" dataDxfId="474">
      <calculatedColumnFormula>VLOOKUP(Tabla16[[#This Row],[CÓDIGO DEL PRODUCTO Y/O SERVICIO ]],Tabla3[],3,0)</calculatedColumnFormula>
    </tableColumn>
    <tableColumn id="25" xr3:uid="{00000000-0010-0000-0800-000019000000}" name="CANTIDADES A UTILIZAR EN EL AÑO 1 2" dataDxfId="473">
      <calculatedColumnFormula>Tabla16[[#This Row],[UNIDADES PRODUCIDAS AÑO 1 2]]*G91</calculatedColumnFormula>
    </tableColumn>
    <tableColumn id="26" xr3:uid="{00000000-0010-0000-0800-00001A000000}" name="CAMBIO PORCENTUAL EN UNIDADES VENDIDAS AÑO 2 2" dataDxfId="472">
      <calculatedColumnFormula>VLOOKUP(Tabla16[[#This Row],[CÓDIGO DEL PRODUCTO Y/O SERVICIO ]],Tabla3[],9,0)</calculatedColumnFormula>
    </tableColumn>
    <tableColumn id="27" xr3:uid="{00000000-0010-0000-0800-00001B000000}" name="CANTIDADES A UTILIZAR EN EL AÑO 2 2" dataDxfId="471">
      <calculatedColumnFormula>Tabla16[[#This Row],[CANTIDADES A UTILIZAR EN EL AÑO 1 2]]*(1+Tabla16[[#This Row],[CAMBIO PORCENTUAL EN UNIDADES VENDIDAS AÑO 2 2]])</calculatedColumnFormula>
    </tableColumn>
    <tableColumn id="28" xr3:uid="{00000000-0010-0000-0800-00001C000000}" name="CAMBIO PORCENTUAL EN UNIDADES VENDIDAS AÑO 3 2 " dataDxfId="470">
      <calculatedColumnFormula>VLOOKUP(Tabla16[[#This Row],[CÓDIGO DEL PRODUCTO Y/O SERVICIO ]],Tabla3[],13,0)</calculatedColumnFormula>
    </tableColumn>
    <tableColumn id="29" xr3:uid="{00000000-0010-0000-0800-00001D000000}" name="CANTIDADES A UTILIZAR EN EL AÑO 3 2" dataDxfId="469">
      <calculatedColumnFormula>Tabla16[[#This Row],[CANTIDADES A UTILIZAR EN EL AÑO 2 2]]*(1+Tabla16[[#This Row],[CAMBIO PORCENTUAL EN UNIDADES VENDIDAS AÑO 3 2 ]])</calculatedColumnFormula>
    </tableColumn>
    <tableColumn id="30" xr3:uid="{00000000-0010-0000-0800-00001E000000}" name="CAMBIO PORCENTUAL EN UNIDADES VENDIDAS AÑO 4 2" dataDxfId="468">
      <calculatedColumnFormula>VLOOKUP(Tabla16[[#This Row],[CÓDIGO DEL PRODUCTO Y/O SERVICIO ]],Tabla3[],17,0)</calculatedColumnFormula>
    </tableColumn>
    <tableColumn id="31" xr3:uid="{00000000-0010-0000-0800-00001F000000}" name="CANTIDADES A UTILIZAR EN EL AÑO 4 2" dataDxfId="467">
      <calculatedColumnFormula>Tabla16[[#This Row],[CANTIDADES A UTILIZAR EN EL AÑO 3 2]]*(1+Tabla16[[#This Row],[CAMBIO PORCENTUAL EN UNIDADES VENDIDAS AÑO 4 2]])</calculatedColumnFormula>
    </tableColumn>
    <tableColumn id="32" xr3:uid="{00000000-0010-0000-0800-000020000000}" name="CAMBIO PORCENTUAL EN UNIDADES VENDIDAS AÑO 5 2" dataDxfId="466">
      <calculatedColumnFormula>VLOOKUP(Tabla16[[#This Row],[CÓDIGO DEL PRODUCTO Y/O SERVICIO ]],Tabla3[],21,0)</calculatedColumnFormula>
    </tableColumn>
    <tableColumn id="33" xr3:uid="{00000000-0010-0000-0800-000021000000}" name="CANTIDADES A UTILIZAR AÑO 5 2" dataDxfId="465">
      <calculatedColumnFormula>Tabla16[[#This Row],[CANTIDADES A UTILIZAR EN EL AÑO 4 2]]*(1+Tabla16[[#This Row],[CAMBIO PORCENTUAL EN UNIDADES VENDIDAS AÑO 5 2]])</calculatedColumnFormula>
    </tableColumn>
    <tableColumn id="34" xr3:uid="{00000000-0010-0000-0800-000022000000}" name="COSTO POR UNIDAD DE PRODUCTO (2) " dataDxfId="464">
      <calculatedColumnFormula>IF(Tabla16[[#This Row],[CANTIDADES A UTILIZAR EN EL AÑO 1 2]]=0,0,Tabla16[[#This Row],[CANTIDADES A UTILIZAR EN EL AÑO 1 2]]*1/Tabla16[[#This Row],[UNIDADES PRODUCIDAS AÑO 1 2]])</calculatedColumnFormula>
    </tableColumn>
    <tableColumn id="35" xr3:uid="{00000000-0010-0000-0800-000023000000}" name="COSTO UNITARIO AÑO 2 2" dataDxfId="463">
      <calculatedColumnFormula>$C$75*(1+BASES!$E$14)</calculatedColumnFormula>
    </tableColumn>
    <tableColumn id="36" xr3:uid="{00000000-0010-0000-0800-000024000000}" name="COSTO UNITARIO AÑO 3 2" dataDxfId="462">
      <calculatedColumnFormula>Tabla16[[#This Row],[COSTO UNITARIO AÑO 2 2]]*(1+BASES!$F$14)</calculatedColumnFormula>
    </tableColumn>
    <tableColumn id="37" xr3:uid="{00000000-0010-0000-0800-000025000000}" name="COSTO UNITARIO AÑO 4 2" dataDxfId="461">
      <calculatedColumnFormula>Tabla16[[#This Row],[COSTO UNITARIO AÑO 3 2]]*(1+BASES!$G$14)</calculatedColumnFormula>
    </tableColumn>
    <tableColumn id="38" xr3:uid="{00000000-0010-0000-0800-000026000000}" name="COSTO UNITARIO AÑO 5 2 " dataDxfId="460">
      <calculatedColumnFormula>Tabla16[[#This Row],[COSTO UNITARIO AÑO 4 2]]*(1+BASES!$H$14)</calculatedColumnFormula>
    </tableColumn>
    <tableColumn id="39" xr3:uid="{00000000-0010-0000-0800-000027000000}" name="AÑO 1 2" dataDxfId="459">
      <calculatedColumnFormula>Tabla16[[#This Row],[COSTO POR UNIDAD DE PRODUCTO (2) ]]*$C$75*VLOOKUP(Tabla16[[#This Row],[CÓDIGO DEL PRODUCTO Y/O SERVICIO ]],Tabla3[],3,0)</calculatedColumnFormula>
    </tableColumn>
    <tableColumn id="40" xr3:uid="{00000000-0010-0000-0800-000028000000}" name="AÑO 2 2" dataDxfId="458">
      <calculatedColumnFormula>Tabla16[[#This Row],[COSTO POR UNIDAD DE PRODUCTO (2) ]]*Tabla16[[#This Row],[COSTO UNITARIO AÑO 2 2]]*VLOOKUP(Tabla16[[#This Row],[CÓDIGO DEL PRODUCTO Y/O SERVICIO ]],Tabla3[],6,0)</calculatedColumnFormula>
    </tableColumn>
    <tableColumn id="41" xr3:uid="{00000000-0010-0000-0800-000029000000}" name="AÑO 3 2" dataDxfId="457">
      <calculatedColumnFormula>Tabla16[[#This Row],[COSTO POR UNIDAD DE PRODUCTO (2) ]]*Tabla16[[#This Row],[COSTO UNITARIO AÑO 3 2]]*VLOOKUP(Tabla16[[#This Row],[CÓDIGO DEL PRODUCTO Y/O SERVICIO ]],Tabla3[],10,0)</calculatedColumnFormula>
    </tableColumn>
    <tableColumn id="42" xr3:uid="{00000000-0010-0000-0800-00002A000000}" name="AÑO 4 2" dataDxfId="456">
      <calculatedColumnFormula>Tabla16[[#This Row],[COSTO POR UNIDAD DE PRODUCTO (2) ]]*Tabla16[[#This Row],[COSTO UNITARIO AÑO 4 2]]*VLOOKUP(Tabla16[[#This Row],[CÓDIGO DEL PRODUCTO Y/O SERVICIO ]],Tabla3[],14,0)</calculatedColumnFormula>
    </tableColumn>
    <tableColumn id="43" xr3:uid="{00000000-0010-0000-0800-00002B000000}" name="AÑO 5 2" dataDxfId="455">
      <calculatedColumnFormula>Tabla16[[#This Row],[COSTO POR UNIDAD DE PRODUCTO (2) ]]*Tabla16[[#This Row],[COSTO UNITARIO AÑO 5 2 ]]*VLOOKUP(Tabla16[[#This Row],[CÓDIGO DEL PRODUCTO Y/O SERVICIO ]],Tabla3[],18,0)</calculatedColumnFormula>
    </tableColumn>
    <tableColumn id="44" xr3:uid="{00000000-0010-0000-0800-00002C000000}" name="UNIDADES PRODUCIDAS AÑO 1 3" dataDxfId="454">
      <calculatedColumnFormula>VLOOKUP(Tabla16[[#This Row],[CÓDIGO DEL PRODUCTO Y/O SERVICIO ]],Tabla3[],3,0)</calculatedColumnFormula>
    </tableColumn>
    <tableColumn id="45" xr3:uid="{00000000-0010-0000-0800-00002D000000}" name="CANTIDADES A UTILIZAR EN EL AÑO 1 3" dataDxfId="453">
      <calculatedColumnFormula>Tabla16[[#This Row],[UNIDADES PRODUCIDAS AÑO 1 3]]*H91</calculatedColumnFormula>
    </tableColumn>
    <tableColumn id="46" xr3:uid="{00000000-0010-0000-0800-00002E000000}" name="CAMBIO PORCENTUAL EN UNIDADES VENDIDAS AÑO 2 3" dataDxfId="452">
      <calculatedColumnFormula>VLOOKUP(Tabla16[[#This Row],[CÓDIGO DEL PRODUCTO Y/O SERVICIO ]],Tabla3[],9,0)</calculatedColumnFormula>
    </tableColumn>
    <tableColumn id="47" xr3:uid="{00000000-0010-0000-0800-00002F000000}" name="CANTIDADES A UTILIZAR EN EL AÑO 2 3" dataDxfId="451">
      <calculatedColumnFormula>Tabla16[[#This Row],[CANTIDADES A UTILIZAR EN EL AÑO 1 3]]*(1+Tabla16[[#This Row],[CAMBIO PORCENTUAL EN UNIDADES VENDIDAS AÑO 2 3]])</calculatedColumnFormula>
    </tableColumn>
    <tableColumn id="48" xr3:uid="{00000000-0010-0000-0800-000030000000}" name="CAMBIO PORCENTUAL EN UNIDADES VENDIDAS AÑO 3 3" dataDxfId="450">
      <calculatedColumnFormula>VLOOKUP(Tabla16[[#This Row],[CÓDIGO DEL PRODUCTO Y/O SERVICIO ]],Tabla3[],13,0)</calculatedColumnFormula>
    </tableColumn>
    <tableColumn id="49" xr3:uid="{00000000-0010-0000-0800-000031000000}" name="CANTIDADES A UTILIZAR EN EL AÑO 3 3" dataDxfId="449">
      <calculatedColumnFormula>Tabla16[[#This Row],[CANTIDADES A UTILIZAR EN EL AÑO 2 3]]*(1+Tabla16[[#This Row],[CAMBIO PORCENTUAL EN UNIDADES VENDIDAS AÑO 3 3]])</calculatedColumnFormula>
    </tableColumn>
    <tableColumn id="50" xr3:uid="{00000000-0010-0000-0800-000032000000}" name="CAMBIO PORCENTUAL EN UNIDADES VENDIDAS AÑO 4 3" dataDxfId="448">
      <calculatedColumnFormula>VLOOKUP(Tabla16[[#This Row],[CÓDIGO DEL PRODUCTO Y/O SERVICIO ]],Tabla3[],17,0)</calculatedColumnFormula>
    </tableColumn>
    <tableColumn id="51" xr3:uid="{00000000-0010-0000-0800-000033000000}" name="CANTIDADES A UTILIZAR EN EL AÑO 4 3" dataDxfId="447">
      <calculatedColumnFormula>Tabla16[[#This Row],[CANTIDADES A UTILIZAR EN EL AÑO 3 3]]*(1+Tabla16[[#This Row],[CAMBIO PORCENTUAL EN UNIDADES VENDIDAS AÑO 4 3]])</calculatedColumnFormula>
    </tableColumn>
    <tableColumn id="52" xr3:uid="{00000000-0010-0000-0800-000034000000}" name="CAMBIO PORCENTUAL EN UNIDADES VENDIDAS AÑO 5 3" dataDxfId="446">
      <calculatedColumnFormula>VLOOKUP(Tabla16[[#This Row],[CÓDIGO DEL PRODUCTO Y/O SERVICIO ]],Tabla3[],21,0)</calculatedColumnFormula>
    </tableColumn>
    <tableColumn id="53" xr3:uid="{00000000-0010-0000-0800-000035000000}" name="CANTIDADES A UTILIZAR AÑO 5 3" dataDxfId="445">
      <calculatedColumnFormula>Tabla16[[#This Row],[CANTIDADES A UTILIZAR EN EL AÑO 4 3]]*(1+Tabla16[[#This Row],[CAMBIO PORCENTUAL EN UNIDADES VENDIDAS AÑO 5 3]])</calculatedColumnFormula>
    </tableColumn>
    <tableColumn id="54" xr3:uid="{00000000-0010-0000-0800-000036000000}" name="COSTO POR UNIDAD DE PRODUCTO (3) " dataDxfId="444">
      <calculatedColumnFormula>IF(Tabla16[[#This Row],[CANTIDADES A UTILIZAR EN EL AÑO 1 3]]=0,0,Tabla16[[#This Row],[CANTIDADES A UTILIZAR EN EL AÑO 1 3]]*1/Tabla16[[#This Row],[UNIDADES PRODUCIDAS AÑO 1 3]])</calculatedColumnFormula>
    </tableColumn>
    <tableColumn id="55" xr3:uid="{00000000-0010-0000-0800-000037000000}" name="COSTO UNITARIO AÑO 2 3" dataDxfId="443">
      <calculatedColumnFormula>$C$76*(1+BASES!$E$14)</calculatedColumnFormula>
    </tableColumn>
    <tableColumn id="56" xr3:uid="{00000000-0010-0000-0800-000038000000}" name="COSTO UNITARIO AÑO 3 3" dataDxfId="442">
      <calculatedColumnFormula>Tabla16[[#This Row],[COSTO UNITARIO AÑO 2 3]]*(1+BASES!$F$14)</calculatedColumnFormula>
    </tableColumn>
    <tableColumn id="57" xr3:uid="{00000000-0010-0000-0800-000039000000}" name="COSTO UNITARIO AÑO 4 3" dataDxfId="441">
      <calculatedColumnFormula>Tabla16[[#This Row],[COSTO UNITARIO AÑO 3 3]]*(1+BASES!$G$14)</calculatedColumnFormula>
    </tableColumn>
    <tableColumn id="58" xr3:uid="{00000000-0010-0000-0800-00003A000000}" name="COSTO UNITARIO AÑO 5 3" dataDxfId="440">
      <calculatedColumnFormula>Tabla16[[#This Row],[COSTO UNITARIO AÑO 4 3]]*(1+BASES!$H$14)</calculatedColumnFormula>
    </tableColumn>
    <tableColumn id="59" xr3:uid="{00000000-0010-0000-0800-00003B000000}" name="AÑO 1 3" dataDxfId="439">
      <calculatedColumnFormula>Tabla16[[#This Row],[COSTO POR UNIDAD DE PRODUCTO (3) ]]*$C$76*VLOOKUP(Tabla16[[#This Row],[CÓDIGO DEL PRODUCTO Y/O SERVICIO ]],Tabla3[],3,0)</calculatedColumnFormula>
    </tableColumn>
    <tableColumn id="60" xr3:uid="{00000000-0010-0000-0800-00003C000000}" name="AÑO 2 3" dataDxfId="438">
      <calculatedColumnFormula>Tabla16[[#This Row],[COSTO POR UNIDAD DE PRODUCTO (3) ]]*Tabla16[[#This Row],[COSTO UNITARIO AÑO 2 3]]*VLOOKUP(Tabla16[[#This Row],[CÓDIGO DEL PRODUCTO Y/O SERVICIO ]],Tabla3[],6,0)</calculatedColumnFormula>
    </tableColumn>
    <tableColumn id="61" xr3:uid="{00000000-0010-0000-0800-00003D000000}" name="AÑO 3 3" dataDxfId="437">
      <calculatedColumnFormula>Tabla16[[#This Row],[COSTO POR UNIDAD DE PRODUCTO (3) ]]*Tabla16[[#This Row],[COSTO UNITARIO AÑO 3 3]]*VLOOKUP(Tabla16[[#This Row],[CÓDIGO DEL PRODUCTO Y/O SERVICIO ]],Tabla3[],10,0)</calculatedColumnFormula>
    </tableColumn>
    <tableColumn id="62" xr3:uid="{00000000-0010-0000-0800-00003E000000}" name="AÑO 4 3" dataDxfId="436">
      <calculatedColumnFormula>Tabla16[[#This Row],[COSTO POR UNIDAD DE PRODUCTO (3) ]]*Tabla16[[#This Row],[COSTO UNITARIO AÑO 4 3]]*VLOOKUP(Tabla16[[#This Row],[CÓDIGO DEL PRODUCTO Y/O SERVICIO ]],Tabla3[],14,0)</calculatedColumnFormula>
    </tableColumn>
    <tableColumn id="63" xr3:uid="{00000000-0010-0000-0800-00003F000000}" name="AÑO 5 3" dataDxfId="435">
      <calculatedColumnFormula>Tabla16[[#This Row],[COSTO POR UNIDAD DE PRODUCTO (3) ]]*Tabla16[[#This Row],[COSTO UNITARIO AÑO 5 3]]*VLOOKUP(Tabla16[[#This Row],[CÓDIGO DEL PRODUCTO Y/O SERVICIO ]],Tabla3[],18,0)</calculatedColumnFormula>
    </tableColumn>
    <tableColumn id="64" xr3:uid="{00000000-0010-0000-0800-000040000000}" name="UNIDADES PRODUCIDAS AÑO 1 4" dataDxfId="434">
      <calculatedColumnFormula>VLOOKUP(Tabla16[[#This Row],[CÓDIGO DEL PRODUCTO Y/O SERVICIO ]],Tabla3[],3,0)</calculatedColumnFormula>
    </tableColumn>
    <tableColumn id="65" xr3:uid="{00000000-0010-0000-0800-000041000000}" name="CANTIDADES A UTILIZAR EN EL AÑO 1 4" dataDxfId="433">
      <calculatedColumnFormula>Tabla16[[#This Row],[UNIDADES PRODUCIDAS AÑO 1 4]]*I91</calculatedColumnFormula>
    </tableColumn>
    <tableColumn id="66" xr3:uid="{00000000-0010-0000-0800-000042000000}" name="CAMBIO PORCENTUAL EN UNIDADES VENDIDAS AÑO 2 4" dataDxfId="432">
      <calculatedColumnFormula>VLOOKUP(Tabla16[[#This Row],[CÓDIGO DEL PRODUCTO Y/O SERVICIO ]],Tabla3[],9,0)</calculatedColumnFormula>
    </tableColumn>
    <tableColumn id="67" xr3:uid="{00000000-0010-0000-0800-000043000000}" name="CANTIDADES A UTILIZAR EN EL AÑO 2 4" dataDxfId="431">
      <calculatedColumnFormula>Tabla16[[#This Row],[CANTIDADES A UTILIZAR EN EL AÑO 1 4]]*(1+Tabla16[[#This Row],[CAMBIO PORCENTUAL EN UNIDADES VENDIDAS AÑO 2 4]])</calculatedColumnFormula>
    </tableColumn>
    <tableColumn id="68" xr3:uid="{00000000-0010-0000-0800-000044000000}" name="CAMBIO PORCENTUAL EN UNIDADES VENDIDAS AÑO 3 4" dataDxfId="430">
      <calculatedColumnFormula>VLOOKUP(Tabla16[[#This Row],[CÓDIGO DEL PRODUCTO Y/O SERVICIO ]],Tabla3[],13,0)</calculatedColumnFormula>
    </tableColumn>
    <tableColumn id="69" xr3:uid="{00000000-0010-0000-0800-000045000000}" name="CANTIDADES A UTILIZAR EN EL AÑO 3 4" dataDxfId="429">
      <calculatedColumnFormula>Tabla16[[#This Row],[CANTIDADES A UTILIZAR EN EL AÑO 2 4]]*(1+Tabla16[[#This Row],[CAMBIO PORCENTUAL EN UNIDADES VENDIDAS AÑO 3 4]])</calculatedColumnFormula>
    </tableColumn>
    <tableColumn id="70" xr3:uid="{00000000-0010-0000-0800-000046000000}" name="CAMBIO PORCENTUAL EN UNIDADES VENDIDAS AÑO 4 4" dataDxfId="428">
      <calculatedColumnFormula>VLOOKUP(Tabla16[[#This Row],[CÓDIGO DEL PRODUCTO Y/O SERVICIO ]],Tabla3[],17,0)</calculatedColumnFormula>
    </tableColumn>
    <tableColumn id="71" xr3:uid="{00000000-0010-0000-0800-000047000000}" name="CANTIDADES A UTILIZAR EN EL AÑO 4 4" dataDxfId="427">
      <calculatedColumnFormula>Tabla16[[#This Row],[CANTIDADES A UTILIZAR EN EL AÑO 3 4]]*(1+Tabla16[[#This Row],[CAMBIO PORCENTUAL EN UNIDADES VENDIDAS AÑO 4 4]])</calculatedColumnFormula>
    </tableColumn>
    <tableColumn id="72" xr3:uid="{00000000-0010-0000-0800-000048000000}" name="CAMBIO PORCENTUAL EN UNIDADES VENDIDAS AÑO 5 4" dataDxfId="426">
      <calculatedColumnFormula>VLOOKUP(Tabla16[[#This Row],[CÓDIGO DEL PRODUCTO Y/O SERVICIO ]],Tabla3[],21,0)</calculatedColumnFormula>
    </tableColumn>
    <tableColumn id="73" xr3:uid="{00000000-0010-0000-0800-000049000000}" name="CANTIDADES A UTILIZAR AÑO 5 4 " dataDxfId="425">
      <calculatedColumnFormula>Tabla16[[#This Row],[CANTIDADES A UTILIZAR EN EL AÑO 4 4]]*(1+Tabla16[[#This Row],[CAMBIO PORCENTUAL EN UNIDADES VENDIDAS AÑO 5 4]])</calculatedColumnFormula>
    </tableColumn>
    <tableColumn id="74" xr3:uid="{00000000-0010-0000-0800-00004A000000}" name="COSTO POR UNIDAD DE PRODUCTO (4)" dataDxfId="424">
      <calculatedColumnFormula>IF(Tabla16[[#This Row],[CANTIDADES A UTILIZAR EN EL AÑO 1 4]]=0,0,Tabla16[[#This Row],[CANTIDADES A UTILIZAR EN EL AÑO 1 4]]*1/Tabla16[[#This Row],[UNIDADES PRODUCIDAS AÑO 1 4]])</calculatedColumnFormula>
    </tableColumn>
    <tableColumn id="75" xr3:uid="{00000000-0010-0000-0800-00004B000000}" name="COSTO UNITARIO AÑO 2 4" dataDxfId="423">
      <calculatedColumnFormula>$C$77*(1+BASES!$E$14)</calculatedColumnFormula>
    </tableColumn>
    <tableColumn id="76" xr3:uid="{00000000-0010-0000-0800-00004C000000}" name="COSTO UNITARIO AÑO 3 4 " dataDxfId="422">
      <calculatedColumnFormula>Tabla16[[#This Row],[COSTO UNITARIO AÑO 2 4]]*(1+BASES!$F$14)</calculatedColumnFormula>
    </tableColumn>
    <tableColumn id="77" xr3:uid="{00000000-0010-0000-0800-00004D000000}" name="COSTO UNITARIO AÑO 4 4" dataDxfId="421">
      <calculatedColumnFormula>Tabla16[[#This Row],[COSTO UNITARIO AÑO 3 4 ]]*(1+BASES!$G$14)</calculatedColumnFormula>
    </tableColumn>
    <tableColumn id="78" xr3:uid="{00000000-0010-0000-0800-00004E000000}" name="COSTO UNITARIO AÑO 5 4 " dataDxfId="420">
      <calculatedColumnFormula>Tabla16[[#This Row],[COSTO UNITARIO AÑO 4 4]]*(1+BASES!$H$14)</calculatedColumnFormula>
    </tableColumn>
    <tableColumn id="79" xr3:uid="{00000000-0010-0000-0800-00004F000000}" name="AÑO 1 4" dataDxfId="419">
      <calculatedColumnFormula>Tabla16[[#This Row],[COSTO POR UNIDAD DE PRODUCTO (4)]]*$C$77*VLOOKUP(Tabla16[[#This Row],[CÓDIGO DEL PRODUCTO Y/O SERVICIO ]],Tabla3[],3,0)</calculatedColumnFormula>
    </tableColumn>
    <tableColumn id="80" xr3:uid="{00000000-0010-0000-0800-000050000000}" name="AÑO 2 4" dataDxfId="418">
      <calculatedColumnFormula>Tabla16[[#This Row],[COSTO POR UNIDAD DE PRODUCTO (4)]]*Tabla16[[#This Row],[COSTO UNITARIO AÑO 2 4]]*VLOOKUP(Tabla16[[#This Row],[CÓDIGO DEL PRODUCTO Y/O SERVICIO ]],Tabla3[],6,0)</calculatedColumnFormula>
    </tableColumn>
    <tableColumn id="81" xr3:uid="{00000000-0010-0000-0800-000051000000}" name="AÑO 3 4" dataDxfId="417">
      <calculatedColumnFormula>Tabla16[[#This Row],[COSTO POR UNIDAD DE PRODUCTO (4)]]*Tabla16[[#This Row],[COSTO UNITARIO AÑO 3 4 ]]*VLOOKUP(Tabla16[[#This Row],[CÓDIGO DEL PRODUCTO Y/O SERVICIO ]],Tabla3[],10,0)</calculatedColumnFormula>
    </tableColumn>
    <tableColumn id="82" xr3:uid="{00000000-0010-0000-0800-000052000000}" name="AÑO 4 4 " dataDxfId="416">
      <calculatedColumnFormula>Tabla16[[#This Row],[COSTO POR UNIDAD DE PRODUCTO (4)]]*Tabla16[[#This Row],[COSTO UNITARIO AÑO 4 4]]*VLOOKUP(Tabla16[[#This Row],[CÓDIGO DEL PRODUCTO Y/O SERVICIO ]],Tabla3[],14,0)</calculatedColumnFormula>
    </tableColumn>
    <tableColumn id="83" xr3:uid="{00000000-0010-0000-0800-000053000000}" name="AÑO 5 4" dataDxfId="415">
      <calculatedColumnFormula>Tabla16[[#This Row],[COSTO POR UNIDAD DE PRODUCTO (4)]]*Tabla16[[#This Row],[COSTO UNITARIO AÑO 5 4 ]]*VLOOKUP(Tabla16[[#This Row],[CÓDIGO DEL PRODUCTO Y/O SERVICIO ]],Tabla3[],18,0)</calculatedColumnFormula>
    </tableColumn>
    <tableColumn id="84" xr3:uid="{00000000-0010-0000-0800-000054000000}" name="UNIDADES PRODUCIDAS AÑO 1 5" dataDxfId="414">
      <calculatedColumnFormula>VLOOKUP(Tabla16[[#This Row],[CÓDIGO DEL PRODUCTO Y/O SERVICIO ]],Tabla3[],3,0)</calculatedColumnFormula>
    </tableColumn>
    <tableColumn id="85" xr3:uid="{00000000-0010-0000-0800-000055000000}" name="CANTIDADES A UTILIZAR EN EL AÑO 1 5" dataDxfId="413">
      <calculatedColumnFormula>Tabla16[[#This Row],[UNIDADES PRODUCIDAS AÑO 1 5]]*J91</calculatedColumnFormula>
    </tableColumn>
    <tableColumn id="86" xr3:uid="{00000000-0010-0000-0800-000056000000}" name="CAMBIO PORCENTUAL EN UNIDADES VENDIDAS AÑO 2 5" dataDxfId="412">
      <calculatedColumnFormula>VLOOKUP(Tabla16[[#This Row],[CÓDIGO DEL PRODUCTO Y/O SERVICIO ]],Tabla3[],9,0)</calculatedColumnFormula>
    </tableColumn>
    <tableColumn id="87" xr3:uid="{00000000-0010-0000-0800-000057000000}" name="CANTIDADES A UTILIZAR EN EL AÑO 2 5" dataDxfId="411">
      <calculatedColumnFormula>Tabla16[[#This Row],[CANTIDADES A UTILIZAR EN EL AÑO 1 5]]*(1+Tabla16[[#This Row],[CAMBIO PORCENTUAL EN UNIDADES VENDIDAS AÑO 2 5]])</calculatedColumnFormula>
    </tableColumn>
    <tableColumn id="88" xr3:uid="{00000000-0010-0000-0800-000058000000}" name="CAMBIO PORCENTUAL EN UNIDADES VENDIDAS AÑO 3 5" dataDxfId="410">
      <calculatedColumnFormula>VLOOKUP(Tabla16[[#This Row],[CÓDIGO DEL PRODUCTO Y/O SERVICIO ]],Tabla3[],13,0)</calculatedColumnFormula>
    </tableColumn>
    <tableColumn id="89" xr3:uid="{00000000-0010-0000-0800-000059000000}" name="CANTIDADES A UTILIZAR EN EL AÑO 3 5 " dataDxfId="409">
      <calculatedColumnFormula>Tabla16[[#This Row],[CANTIDADES A UTILIZAR EN EL AÑO 2 5]]*(1+Tabla16[[#This Row],[CAMBIO PORCENTUAL EN UNIDADES VENDIDAS AÑO 3 5]])</calculatedColumnFormula>
    </tableColumn>
    <tableColumn id="90" xr3:uid="{00000000-0010-0000-0800-00005A000000}" name="CAMBIO PORCENTUAL EN UNIDADES VENDIDAS AÑO 4 5" dataDxfId="408">
      <calculatedColumnFormula>VLOOKUP(Tabla16[[#This Row],[CÓDIGO DEL PRODUCTO Y/O SERVICIO ]],Tabla3[],17,0)</calculatedColumnFormula>
    </tableColumn>
    <tableColumn id="91" xr3:uid="{00000000-0010-0000-0800-00005B000000}" name="CANTIDADES A UTILIZAR EN EL AÑO 4 5" dataDxfId="407">
      <calculatedColumnFormula>Tabla16[[#This Row],[CANTIDADES A UTILIZAR EN EL AÑO 3 5 ]]*(1+Tabla16[[#This Row],[CAMBIO PORCENTUAL EN UNIDADES VENDIDAS AÑO 4 5]])</calculatedColumnFormula>
    </tableColumn>
    <tableColumn id="92" xr3:uid="{00000000-0010-0000-0800-00005C000000}" name="CAMBIO PORCENTUAL EN UNIDADES VENDIDAS AÑO 5 5" dataDxfId="406">
      <calculatedColumnFormula>VLOOKUP(Tabla16[[#This Row],[CÓDIGO DEL PRODUCTO Y/O SERVICIO ]],Tabla3[],21,0)</calculatedColumnFormula>
    </tableColumn>
    <tableColumn id="93" xr3:uid="{00000000-0010-0000-0800-00005D000000}" name="CANTIDADES A UTILIZAR AÑO 5 5" dataDxfId="405">
      <calculatedColumnFormula>Tabla16[[#This Row],[CANTIDADES A UTILIZAR EN EL AÑO 4 5]]*(1+Tabla16[[#This Row],[CAMBIO PORCENTUAL EN UNIDADES VENDIDAS AÑO 5 5]])</calculatedColumnFormula>
    </tableColumn>
    <tableColumn id="94" xr3:uid="{00000000-0010-0000-0800-00005E000000}" name="COSTO POR UNIDAD DE PRODUCTO (5) " dataDxfId="404">
      <calculatedColumnFormula>IF(Tabla16[[#This Row],[CANTIDADES A UTILIZAR EN EL AÑO 1 5]]=0,0,Tabla16[[#This Row],[CANTIDADES A UTILIZAR EN EL AÑO 1 5]]*1/Tabla16[[#This Row],[UNIDADES PRODUCIDAS AÑO 1 5]])</calculatedColumnFormula>
    </tableColumn>
    <tableColumn id="95" xr3:uid="{00000000-0010-0000-0800-00005F000000}" name="COSTO UNITARIO AÑO 2 5" dataDxfId="403">
      <calculatedColumnFormula>$C$78*(1+BASES!$E$14)</calculatedColumnFormula>
    </tableColumn>
    <tableColumn id="96" xr3:uid="{00000000-0010-0000-0800-000060000000}" name="COSTO UNITARIO AÑO 3 5" dataDxfId="402">
      <calculatedColumnFormula>Tabla16[[#This Row],[COSTO UNITARIO AÑO 2 5]]*(1+BASES!$F$14)</calculatedColumnFormula>
    </tableColumn>
    <tableColumn id="97" xr3:uid="{00000000-0010-0000-0800-000061000000}" name="COSTO UNITARIO AÑO 4 5" dataDxfId="401">
      <calculatedColumnFormula>Tabla16[[#This Row],[COSTO UNITARIO AÑO 3 5]]*(1+BASES!$G$14)</calculatedColumnFormula>
    </tableColumn>
    <tableColumn id="98" xr3:uid="{00000000-0010-0000-0800-000062000000}" name="COSTO UNITARIO AÑO 5 5" dataDxfId="400">
      <calculatedColumnFormula>Tabla16[[#This Row],[COSTO UNITARIO AÑO 4 5]]*(1+BASES!$H$14)</calculatedColumnFormula>
    </tableColumn>
    <tableColumn id="99" xr3:uid="{00000000-0010-0000-0800-000063000000}" name="AÑO 1 5" dataDxfId="399">
      <calculatedColumnFormula>Tabla16[[#This Row],[COSTO POR UNIDAD DE PRODUCTO (5) ]]*$C$78*VLOOKUP(Tabla16[[#This Row],[CÓDIGO DEL PRODUCTO Y/O SERVICIO ]],Tabla3[],3,0)</calculatedColumnFormula>
    </tableColumn>
    <tableColumn id="100" xr3:uid="{00000000-0010-0000-0800-000064000000}" name="AÑO 2 5" dataDxfId="398">
      <calculatedColumnFormula>Tabla16[[#This Row],[COSTO POR UNIDAD DE PRODUCTO (5) ]]*Tabla16[[#This Row],[COSTO UNITARIO AÑO 2 5]]*VLOOKUP(Tabla16[[#This Row],[CÓDIGO DEL PRODUCTO Y/O SERVICIO ]],Tabla3[],6,0)</calculatedColumnFormula>
    </tableColumn>
    <tableColumn id="101" xr3:uid="{00000000-0010-0000-0800-000065000000}" name="AÑO 3 5" dataDxfId="397">
      <calculatedColumnFormula>Tabla16[[#This Row],[COSTO POR UNIDAD DE PRODUCTO (5) ]]*Tabla16[[#This Row],[COSTO UNITARIO AÑO 3 5]]*VLOOKUP(Tabla16[[#This Row],[CÓDIGO DEL PRODUCTO Y/O SERVICIO ]],Tabla3[],10,0)</calculatedColumnFormula>
    </tableColumn>
    <tableColumn id="102" xr3:uid="{00000000-0010-0000-0800-000066000000}" name="AÑO 4 5" dataDxfId="396">
      <calculatedColumnFormula>Tabla16[[#This Row],[COSTO POR UNIDAD DE PRODUCTO (5) ]]*Tabla16[[#This Row],[COSTO UNITARIO AÑO 4 5]]*VLOOKUP(Tabla16[[#This Row],[CÓDIGO DEL PRODUCTO Y/O SERVICIO ]],Tabla3[],14,0)</calculatedColumnFormula>
    </tableColumn>
    <tableColumn id="103" xr3:uid="{00000000-0010-0000-0800-000067000000}" name="AÑO 5 5" dataDxfId="395">
      <calculatedColumnFormula>Tabla16[[#This Row],[COSTO POR UNIDAD DE PRODUCTO (5) ]]*Tabla16[[#This Row],[COSTO UNITARIO AÑO 5 5]]*VLOOKUP(Tabla16[[#This Row],[CÓDIGO DEL PRODUCTO Y/O SERVICIO ]],Tabla3[],18,0)</calculatedColumnFormula>
    </tableColumn>
    <tableColumn id="104" xr3:uid="{00000000-0010-0000-0800-000068000000}" name="UNIDADES PRODUCIDAS AÑO 1 6" dataDxfId="394">
      <calculatedColumnFormula>VLOOKUP(Tabla16[[#This Row],[CÓDIGO DEL PRODUCTO Y/O SERVICIO ]],Tabla3[],3,0)</calculatedColumnFormula>
    </tableColumn>
    <tableColumn id="105" xr3:uid="{00000000-0010-0000-0800-000069000000}" name="CANTIDADES A UTILIZAR EN EL AÑO 1 6" dataDxfId="393">
      <calculatedColumnFormula>Tabla16[[#This Row],[UNIDADES PRODUCIDAS AÑO 1 6]]*K91</calculatedColumnFormula>
    </tableColumn>
    <tableColumn id="106" xr3:uid="{00000000-0010-0000-0800-00006A000000}" name="CAMBIO PORCENTUAL EN UNIDADES VENDIDAS AÑO 2 6" dataDxfId="392">
      <calculatedColumnFormula>VLOOKUP(Tabla16[[#This Row],[CÓDIGO DEL PRODUCTO Y/O SERVICIO ]],Tabla3[],9,0)</calculatedColumnFormula>
    </tableColumn>
    <tableColumn id="107" xr3:uid="{00000000-0010-0000-0800-00006B000000}" name="CANTIDADES A UTILIZAR EN EL AÑO 2 6" dataDxfId="391">
      <calculatedColumnFormula>Tabla16[[#This Row],[CANTIDADES A UTILIZAR EN EL AÑO 1 6]]*(1+Tabla16[[#This Row],[CAMBIO PORCENTUAL EN UNIDADES VENDIDAS AÑO 2 6]])</calculatedColumnFormula>
    </tableColumn>
    <tableColumn id="108" xr3:uid="{00000000-0010-0000-0800-00006C000000}" name="CAMBIO PORCENTUAL EN UNIDADES VENDIDAS AÑO 3 6" dataDxfId="390">
      <calculatedColumnFormula>VLOOKUP(Tabla16[[#This Row],[CÓDIGO DEL PRODUCTO Y/O SERVICIO ]],Tabla3[],13,0)</calculatedColumnFormula>
    </tableColumn>
    <tableColumn id="109" xr3:uid="{00000000-0010-0000-0800-00006D000000}" name="CANTIDADES A UTILIZAR EN EL AÑO 3 6" dataDxfId="389">
      <calculatedColumnFormula>Tabla16[[#This Row],[CANTIDADES A UTILIZAR EN EL AÑO 2 6]]*(1+Tabla16[[#This Row],[CAMBIO PORCENTUAL EN UNIDADES VENDIDAS AÑO 3 6]])</calculatedColumnFormula>
    </tableColumn>
    <tableColumn id="110" xr3:uid="{00000000-0010-0000-0800-00006E000000}" name="CAMBIO PORCENTUAL EN UNIDADES VENDIDAS AÑO 4 6" dataDxfId="388">
      <calculatedColumnFormula>VLOOKUP(Tabla16[[#This Row],[CÓDIGO DEL PRODUCTO Y/O SERVICIO ]],Tabla3[],17,0)</calculatedColumnFormula>
    </tableColumn>
    <tableColumn id="111" xr3:uid="{00000000-0010-0000-0800-00006F000000}" name="CANTIDADES A UTILIZAR EN EL AÑO 4 6" dataDxfId="387">
      <calculatedColumnFormula>Tabla16[[#This Row],[CANTIDADES A UTILIZAR EN EL AÑO 3 6]]*(1+Tabla16[[#This Row],[CAMBIO PORCENTUAL EN UNIDADES VENDIDAS AÑO 4 6]])</calculatedColumnFormula>
    </tableColumn>
    <tableColumn id="112" xr3:uid="{00000000-0010-0000-0800-000070000000}" name="CAMBIO PORCENTUAL EN UNIDADES VENDIDAS AÑO 5 6" dataDxfId="386">
      <calculatedColumnFormula>VLOOKUP(Tabla16[[#This Row],[CÓDIGO DEL PRODUCTO Y/O SERVICIO ]],Tabla3[],21,0)</calculatedColumnFormula>
    </tableColumn>
    <tableColumn id="113" xr3:uid="{00000000-0010-0000-0800-000071000000}" name="CANTIDADES A UTILIZAR AÑO 5 6" dataDxfId="385">
      <calculatedColumnFormula>Tabla16[[#This Row],[CANTIDADES A UTILIZAR EN EL AÑO 4 6]]*(1+Tabla16[[#This Row],[CAMBIO PORCENTUAL EN UNIDADES VENDIDAS AÑO 5 6]])</calculatedColumnFormula>
    </tableColumn>
    <tableColumn id="114" xr3:uid="{00000000-0010-0000-0800-000072000000}" name="COSTO POR UNIDAD DE PRODUCTO (6) " dataDxfId="384">
      <calculatedColumnFormula>IF(Tabla16[[#This Row],[CANTIDADES A UTILIZAR EN EL AÑO 1 6]]=0,0,Tabla16[[#This Row],[CANTIDADES A UTILIZAR EN EL AÑO 1 6]]*1/Tabla16[[#This Row],[UNIDADES PRODUCIDAS AÑO 1 6]])</calculatedColumnFormula>
    </tableColumn>
    <tableColumn id="115" xr3:uid="{00000000-0010-0000-0800-000073000000}" name="COSTO UNITARIO AÑO 2 6" dataDxfId="383">
      <calculatedColumnFormula>$C$79*(1+BASES!$E$14)</calculatedColumnFormula>
    </tableColumn>
    <tableColumn id="116" xr3:uid="{00000000-0010-0000-0800-000074000000}" name="COSTO UNITARIO AÑO 3 6" dataDxfId="382">
      <calculatedColumnFormula>Tabla16[[#This Row],[COSTO UNITARIO AÑO 2 6]]*(1+BASES!$F$14)</calculatedColumnFormula>
    </tableColumn>
    <tableColumn id="117" xr3:uid="{00000000-0010-0000-0800-000075000000}" name="COSTO UNITARIO AÑO 4 6" dataDxfId="381">
      <calculatedColumnFormula>Tabla16[[#This Row],[COSTO UNITARIO AÑO 3 6]]*(1+BASES!$G$14)</calculatedColumnFormula>
    </tableColumn>
    <tableColumn id="118" xr3:uid="{00000000-0010-0000-0800-000076000000}" name="COSTO UNITARIO AÑO 5 6" dataDxfId="380">
      <calculatedColumnFormula>Tabla16[[#This Row],[COSTO UNITARIO AÑO 4 6]]*(1+BASES!$H$14)</calculatedColumnFormula>
    </tableColumn>
    <tableColumn id="119" xr3:uid="{00000000-0010-0000-0800-000077000000}" name="AÑO 1 6" dataDxfId="379">
      <calculatedColumnFormula>Tabla16[[#This Row],[COSTO POR UNIDAD DE PRODUCTO (6) ]]*$C$79*VLOOKUP(Tabla16[[#This Row],[CÓDIGO DEL PRODUCTO Y/O SERVICIO ]],Tabla3[],3,0)</calculatedColumnFormula>
    </tableColumn>
    <tableColumn id="120" xr3:uid="{00000000-0010-0000-0800-000078000000}" name="AÑO 2 6" dataDxfId="378">
      <calculatedColumnFormula>Tabla16[[#This Row],[COSTO POR UNIDAD DE PRODUCTO (6) ]]*Tabla16[[#This Row],[COSTO UNITARIO AÑO 2 6]]*VLOOKUP(Tabla16[[#This Row],[CÓDIGO DEL PRODUCTO Y/O SERVICIO ]],Tabla3[],6,0)</calculatedColumnFormula>
    </tableColumn>
    <tableColumn id="121" xr3:uid="{00000000-0010-0000-0800-000079000000}" name="AÑO 3 6" dataDxfId="377">
      <calculatedColumnFormula>Tabla16[[#This Row],[COSTO POR UNIDAD DE PRODUCTO (6) ]]*Tabla16[[#This Row],[COSTO UNITARIO AÑO 3 6]]*VLOOKUP(Tabla16[[#This Row],[CÓDIGO DEL PRODUCTO Y/O SERVICIO ]],Tabla3[],10,0)</calculatedColumnFormula>
    </tableColumn>
    <tableColumn id="122" xr3:uid="{00000000-0010-0000-0800-00007A000000}" name="AÑO 4 6" dataDxfId="376">
      <calculatedColumnFormula>Tabla16[[#This Row],[COSTO POR UNIDAD DE PRODUCTO (6) ]]*Tabla16[[#This Row],[COSTO UNITARIO AÑO 4 6]]*VLOOKUP(Tabla16[[#This Row],[CÓDIGO DEL PRODUCTO Y/O SERVICIO ]],Tabla3[],14,0)</calculatedColumnFormula>
    </tableColumn>
    <tableColumn id="123" xr3:uid="{00000000-0010-0000-0800-00007B000000}" name="AÑO 5 6" dataDxfId="375">
      <calculatedColumnFormula>Tabla16[[#This Row],[COSTO POR UNIDAD DE PRODUCTO (6) ]]*Tabla16[[#This Row],[COSTO UNITARIO AÑO 5 6]]*VLOOKUP(Tabla16[[#This Row],[CÓDIGO DEL PRODUCTO Y/O SERVICIO ]],Tabla3[],18,0)</calculatedColumnFormula>
    </tableColumn>
    <tableColumn id="124" xr3:uid="{00000000-0010-0000-0800-00007C000000}" name="UNIDADES PRODUCIDAS AÑO 1 7" dataDxfId="374">
      <calculatedColumnFormula>VLOOKUP(Tabla16[[#This Row],[CÓDIGO DEL PRODUCTO Y/O SERVICIO ]],Tabla3[],3,0)</calculatedColumnFormula>
    </tableColumn>
    <tableColumn id="125" xr3:uid="{00000000-0010-0000-0800-00007D000000}" name="CANTIDADES A UTILIZAR EN EL AÑO 1 7" dataDxfId="373">
      <calculatedColumnFormula>Tabla16[[#This Row],[UNIDADES PRODUCIDAS AÑO 1 7]]*L91</calculatedColumnFormula>
    </tableColumn>
    <tableColumn id="126" xr3:uid="{00000000-0010-0000-0800-00007E000000}" name="CAMBIO PORCENTUAL EN UNIDADES VENDIDAS AÑO 2 7" dataDxfId="372">
      <calculatedColumnFormula>VLOOKUP(Tabla16[[#This Row],[CÓDIGO DEL PRODUCTO Y/O SERVICIO ]],Tabla3[],9,0)</calculatedColumnFormula>
    </tableColumn>
    <tableColumn id="127" xr3:uid="{00000000-0010-0000-0800-00007F000000}" name="CANTIDADES A UTILIZAR EN EL AÑO 2 7" dataDxfId="371">
      <calculatedColumnFormula>Tabla16[[#This Row],[CANTIDADES A UTILIZAR EN EL AÑO 1 7]]*(1+Tabla16[[#This Row],[CAMBIO PORCENTUAL EN UNIDADES VENDIDAS AÑO 2 7]])</calculatedColumnFormula>
    </tableColumn>
    <tableColumn id="128" xr3:uid="{00000000-0010-0000-0800-000080000000}" name="CAMBIO PORCENTUAL EN UNIDADES VENDIDAS AÑO 3 7" dataDxfId="370">
      <calculatedColumnFormula>VLOOKUP(Tabla16[[#This Row],[CÓDIGO DEL PRODUCTO Y/O SERVICIO ]],Tabla3[],13,0)</calculatedColumnFormula>
    </tableColumn>
    <tableColumn id="129" xr3:uid="{00000000-0010-0000-0800-000081000000}" name="CANTIDADES A UTILIZAR EN EL AÑO 3 7" dataDxfId="369">
      <calculatedColumnFormula>Tabla16[[#This Row],[CANTIDADES A UTILIZAR EN EL AÑO 2 7]]*(1+Tabla16[[#This Row],[CAMBIO PORCENTUAL EN UNIDADES VENDIDAS AÑO 3 7]])</calculatedColumnFormula>
    </tableColumn>
    <tableColumn id="130" xr3:uid="{00000000-0010-0000-0800-000082000000}" name="CAMBIO PORCENTUAL EN UNIDADES VENDIDAS AÑO 4 7" dataDxfId="368">
      <calculatedColumnFormula>VLOOKUP(Tabla16[[#This Row],[CÓDIGO DEL PRODUCTO Y/O SERVICIO ]],Tabla3[],17,0)</calculatedColumnFormula>
    </tableColumn>
    <tableColumn id="131" xr3:uid="{00000000-0010-0000-0800-000083000000}" name="CANTIDADES A UTILIZAR EN EL AÑO 4 7" dataDxfId="367">
      <calculatedColumnFormula>Tabla16[[#This Row],[CANTIDADES A UTILIZAR EN EL AÑO 3 7]]*(1+Tabla16[[#This Row],[CAMBIO PORCENTUAL EN UNIDADES VENDIDAS AÑO 4 7]])</calculatedColumnFormula>
    </tableColumn>
    <tableColumn id="132" xr3:uid="{00000000-0010-0000-0800-000084000000}" name="CAMBIO PORCENTUAL EN UNIDADES VENDIDAS AÑO 5 7" dataDxfId="366">
      <calculatedColumnFormula>VLOOKUP(Tabla16[[#This Row],[CÓDIGO DEL PRODUCTO Y/O SERVICIO ]],Tabla3[],21,0)</calculatedColumnFormula>
    </tableColumn>
    <tableColumn id="133" xr3:uid="{00000000-0010-0000-0800-000085000000}" name="CANTIDADES A UTILIZAR AÑO 5 7" dataDxfId="365">
      <calculatedColumnFormula>Tabla16[[#This Row],[CANTIDADES A UTILIZAR EN EL AÑO 4 7]]*(1+Tabla16[[#This Row],[CAMBIO PORCENTUAL EN UNIDADES VENDIDAS AÑO 5 7]])</calculatedColumnFormula>
    </tableColumn>
    <tableColumn id="134" xr3:uid="{00000000-0010-0000-0800-000086000000}" name="COSTO POR UNIDAD DE PRODUCTO (7) " dataDxfId="364">
      <calculatedColumnFormula>IF(Tabla16[[#This Row],[CANTIDADES A UTILIZAR EN EL AÑO 1 7]]=0,0,Tabla16[[#This Row],[CANTIDADES A UTILIZAR EN EL AÑO 1 7]]*1/Tabla16[[#This Row],[UNIDADES PRODUCIDAS AÑO 1 7]])</calculatedColumnFormula>
    </tableColumn>
    <tableColumn id="135" xr3:uid="{00000000-0010-0000-0800-000087000000}" name="COSTO UNITARIO AÑO 2 7" dataDxfId="363">
      <calculatedColumnFormula>$C$80*(1+BASES!$E$14)</calculatedColumnFormula>
    </tableColumn>
    <tableColumn id="136" xr3:uid="{00000000-0010-0000-0800-000088000000}" name="COSTO UNITARIO AÑO 3 7" dataDxfId="362">
      <calculatedColumnFormula>Tabla16[[#This Row],[COSTO UNITARIO AÑO 2 7]]*(1+BASES!$F$14)</calculatedColumnFormula>
    </tableColumn>
    <tableColumn id="137" xr3:uid="{00000000-0010-0000-0800-000089000000}" name="COSTO UNITARIO AÑO 4 7" dataDxfId="361">
      <calculatedColumnFormula>Tabla16[[#This Row],[COSTO UNITARIO AÑO 3 7]]*(1+BASES!$G$14)</calculatedColumnFormula>
    </tableColumn>
    <tableColumn id="138" xr3:uid="{00000000-0010-0000-0800-00008A000000}" name="COSTO UNITARIO AÑO 5 7" dataDxfId="360">
      <calculatedColumnFormula>Tabla16[[#This Row],[COSTO UNITARIO AÑO 4 7]]*(1+BASES!$H$14)</calculatedColumnFormula>
    </tableColumn>
    <tableColumn id="139" xr3:uid="{00000000-0010-0000-0800-00008B000000}" name="AÑO 1 7" dataDxfId="359">
      <calculatedColumnFormula>Tabla16[[#This Row],[COSTO POR UNIDAD DE PRODUCTO (7) ]]*$C$80*VLOOKUP(Tabla16[[#This Row],[CÓDIGO DEL PRODUCTO Y/O SERVICIO ]],Tabla3[],3,0)</calculatedColumnFormula>
    </tableColumn>
    <tableColumn id="140" xr3:uid="{00000000-0010-0000-0800-00008C000000}" name="AÑO 2 7" dataDxfId="358">
      <calculatedColumnFormula>Tabla16[[#This Row],[COSTO POR UNIDAD DE PRODUCTO (7) ]]*Tabla16[[#This Row],[COSTO UNITARIO AÑO 2 7]]*VLOOKUP(Tabla16[[#This Row],[CÓDIGO DEL PRODUCTO Y/O SERVICIO ]],Tabla3[],6,0)</calculatedColumnFormula>
    </tableColumn>
    <tableColumn id="141" xr3:uid="{00000000-0010-0000-0800-00008D000000}" name="AÑO 3 7" dataDxfId="357">
      <calculatedColumnFormula>Tabla16[[#This Row],[COSTO POR UNIDAD DE PRODUCTO (7) ]]*Tabla16[[#This Row],[COSTO UNITARIO AÑO 3 7]]*VLOOKUP(Tabla16[[#This Row],[CÓDIGO DEL PRODUCTO Y/O SERVICIO ]],Tabla3[],10,0)</calculatedColumnFormula>
    </tableColumn>
    <tableColumn id="142" xr3:uid="{00000000-0010-0000-0800-00008E000000}" name="AÑO 4 7" dataDxfId="356">
      <calculatedColumnFormula>Tabla16[[#This Row],[COSTO POR UNIDAD DE PRODUCTO (7) ]]*Tabla16[[#This Row],[COSTO UNITARIO AÑO 4 7]]*VLOOKUP(Tabla16[[#This Row],[CÓDIGO DEL PRODUCTO Y/O SERVICIO ]],Tabla3[],14,0)</calculatedColumnFormula>
    </tableColumn>
    <tableColumn id="143" xr3:uid="{00000000-0010-0000-0800-00008F000000}" name="AÑO 5 7" dataDxfId="355">
      <calculatedColumnFormula>Tabla16[[#This Row],[COSTO POR UNIDAD DE PRODUCTO (7) ]]*Tabla16[[#This Row],[COSTO UNITARIO AÑO 5 7]]*VLOOKUP(Tabla16[[#This Row],[CÓDIGO DEL PRODUCTO Y/O SERVICIO ]],Tabla3[],18,0)</calculatedColumnFormula>
    </tableColumn>
    <tableColumn id="144" xr3:uid="{00000000-0010-0000-0800-000090000000}" name="UNIDADES PRODUCIDAS AÑO 1 8" dataDxfId="354">
      <calculatedColumnFormula>VLOOKUP(Tabla16[[#This Row],[CÓDIGO DEL PRODUCTO Y/O SERVICIO ]],Tabla3[],3,0)</calculatedColumnFormula>
    </tableColumn>
    <tableColumn id="145" xr3:uid="{00000000-0010-0000-0800-000091000000}" name="CANTIDADES A UTILIZAR EN EL AÑO 1 8" dataDxfId="353">
      <calculatedColumnFormula>Tabla16[[#This Row],[UNIDADES PRODUCIDAS AÑO 1 8]]*M91</calculatedColumnFormula>
    </tableColumn>
    <tableColumn id="146" xr3:uid="{00000000-0010-0000-0800-000092000000}" name="CAMBIO PORCENTUAL EN UNIDADES VENDIDAS AÑO 2 8" dataDxfId="352">
      <calculatedColumnFormula>VLOOKUP(Tabla16[[#This Row],[CÓDIGO DEL PRODUCTO Y/O SERVICIO ]],Tabla3[],9,0)</calculatedColumnFormula>
    </tableColumn>
    <tableColumn id="147" xr3:uid="{00000000-0010-0000-0800-000093000000}" name="CANTIDADES A UTILIZAR EN EL AÑO 2 8" dataDxfId="351">
      <calculatedColumnFormula>Tabla16[[#This Row],[CANTIDADES A UTILIZAR EN EL AÑO 1 8]]*(1+Tabla16[[#This Row],[CAMBIO PORCENTUAL EN UNIDADES VENDIDAS AÑO 2 8]])</calculatedColumnFormula>
    </tableColumn>
    <tableColumn id="148" xr3:uid="{00000000-0010-0000-0800-000094000000}" name="CAMBIO PORCENTUAL EN UNIDADES VENDIDAS AÑO 3 8" dataDxfId="350">
      <calculatedColumnFormula>VLOOKUP(Tabla16[[#This Row],[CÓDIGO DEL PRODUCTO Y/O SERVICIO ]],Tabla3[],13,0)</calculatedColumnFormula>
    </tableColumn>
    <tableColumn id="149" xr3:uid="{00000000-0010-0000-0800-000095000000}" name="CANTIDADES A UTILIZAR EN EL AÑO 3 8" dataDxfId="349">
      <calculatedColumnFormula>Tabla16[[#This Row],[CANTIDADES A UTILIZAR EN EL AÑO 2 8]]*(1+Tabla16[[#This Row],[CAMBIO PORCENTUAL EN UNIDADES VENDIDAS AÑO 3 8]])</calculatedColumnFormula>
    </tableColumn>
    <tableColumn id="150" xr3:uid="{00000000-0010-0000-0800-000096000000}" name="CAMBIO PORCENTUAL EN UNIDADES VENDIDAS AÑO 4 8" dataDxfId="348">
      <calculatedColumnFormula>VLOOKUP(Tabla16[[#This Row],[CÓDIGO DEL PRODUCTO Y/O SERVICIO ]],Tabla3[],17,0)</calculatedColumnFormula>
    </tableColumn>
    <tableColumn id="151" xr3:uid="{00000000-0010-0000-0800-000097000000}" name="CANTIDADES A UTILIZAR EN EL AÑO 4 8" dataDxfId="347">
      <calculatedColumnFormula>Tabla16[[#This Row],[CANTIDADES A UTILIZAR EN EL AÑO 3 8]]*(1+Tabla16[[#This Row],[CAMBIO PORCENTUAL EN UNIDADES VENDIDAS AÑO 4 8]])</calculatedColumnFormula>
    </tableColumn>
    <tableColumn id="152" xr3:uid="{00000000-0010-0000-0800-000098000000}" name="CAMBIO PORCENTUAL EN UNIDADES VENDIDAS AÑO 5 8" dataDxfId="346">
      <calculatedColumnFormula>VLOOKUP(Tabla16[[#This Row],[CÓDIGO DEL PRODUCTO Y/O SERVICIO ]],Tabla3[],21,0)</calculatedColumnFormula>
    </tableColumn>
    <tableColumn id="153" xr3:uid="{00000000-0010-0000-0800-000099000000}" name="CANTIDADES A UTILIZAR AÑO 5 8" dataDxfId="345">
      <calculatedColumnFormula>Tabla16[[#This Row],[CANTIDADES A UTILIZAR EN EL AÑO 4 8]]*(1+Tabla16[[#This Row],[CAMBIO PORCENTUAL EN UNIDADES VENDIDAS AÑO 5 8]])</calculatedColumnFormula>
    </tableColumn>
    <tableColumn id="154" xr3:uid="{00000000-0010-0000-0800-00009A000000}" name="COSTO POR UNIDAD DE PRODUCTO (8) " dataDxfId="344">
      <calculatedColumnFormula>IF(Tabla16[[#This Row],[CANTIDADES A UTILIZAR EN EL AÑO 1 8]]=0,0,Tabla16[[#This Row],[CANTIDADES A UTILIZAR EN EL AÑO 1 8]]*1/Tabla16[[#This Row],[UNIDADES PRODUCIDAS AÑO 1 8]])</calculatedColumnFormula>
    </tableColumn>
    <tableColumn id="155" xr3:uid="{00000000-0010-0000-0800-00009B000000}" name="COSTO UNITARIO AÑO 2 8" dataDxfId="343">
      <calculatedColumnFormula>$C$81*(1+BASES!$E$14)</calculatedColumnFormula>
    </tableColumn>
    <tableColumn id="156" xr3:uid="{00000000-0010-0000-0800-00009C000000}" name="COSTO UNITARIO AÑO 3 8" dataDxfId="342">
      <calculatedColumnFormula>Tabla16[[#This Row],[COSTO UNITARIO AÑO 2 8]]*(1+BASES!$F$14)</calculatedColumnFormula>
    </tableColumn>
    <tableColumn id="157" xr3:uid="{00000000-0010-0000-0800-00009D000000}" name="COSTO UNITARIO AÑO 4 8" dataDxfId="341">
      <calculatedColumnFormula>Tabla16[[#This Row],[COSTO UNITARIO AÑO 3 8]]*(1+BASES!$G$14)</calculatedColumnFormula>
    </tableColumn>
    <tableColumn id="158" xr3:uid="{00000000-0010-0000-0800-00009E000000}" name="COSTO UNITARIO AÑO 5 8" dataDxfId="340">
      <calculatedColumnFormula>Tabla16[[#This Row],[COSTO UNITARIO AÑO 4 8]]*(1+BASES!$H$14)</calculatedColumnFormula>
    </tableColumn>
    <tableColumn id="159" xr3:uid="{00000000-0010-0000-0800-00009F000000}" name="AÑO 1 8" dataDxfId="339">
      <calculatedColumnFormula>Tabla16[[#This Row],[COSTO POR UNIDAD DE PRODUCTO (8) ]]*$C$81*VLOOKUP(Tabla16[[#This Row],[CÓDIGO DEL PRODUCTO Y/O SERVICIO ]],Tabla3[],3,0)</calculatedColumnFormula>
    </tableColumn>
    <tableColumn id="160" xr3:uid="{00000000-0010-0000-0800-0000A0000000}" name="AÑO 2 8" dataDxfId="338">
      <calculatedColumnFormula>Tabla16[[#This Row],[COSTO POR UNIDAD DE PRODUCTO (8) ]]*Tabla16[[#This Row],[COSTO UNITARIO AÑO 2 8]]*VLOOKUP(Tabla16[[#This Row],[CÓDIGO DEL PRODUCTO Y/O SERVICIO ]],Tabla3[],6,0)</calculatedColumnFormula>
    </tableColumn>
    <tableColumn id="161" xr3:uid="{00000000-0010-0000-0800-0000A1000000}" name="AÑO 3 8" dataDxfId="337">
      <calculatedColumnFormula>Tabla16[[#This Row],[COSTO POR UNIDAD DE PRODUCTO (8) ]]*Tabla16[[#This Row],[COSTO UNITARIO AÑO 3 8]]*VLOOKUP(Tabla16[[#This Row],[CÓDIGO DEL PRODUCTO Y/O SERVICIO ]],Tabla3[],10,0)</calculatedColumnFormula>
    </tableColumn>
    <tableColumn id="162" xr3:uid="{00000000-0010-0000-0800-0000A2000000}" name="AÑO 4 8" dataDxfId="336">
      <calculatedColumnFormula>Tabla16[[#This Row],[COSTO POR UNIDAD DE PRODUCTO (8) ]]*Tabla16[[#This Row],[COSTO UNITARIO AÑO 4 8]]*VLOOKUP(Tabla16[[#This Row],[CÓDIGO DEL PRODUCTO Y/O SERVICIO ]],Tabla3[],14,0)</calculatedColumnFormula>
    </tableColumn>
    <tableColumn id="163" xr3:uid="{00000000-0010-0000-0800-0000A3000000}" name="AÑO 5 8" dataDxfId="335">
      <calculatedColumnFormula>Tabla16[[#This Row],[COSTO POR UNIDAD DE PRODUCTO (8) ]]*Tabla16[[#This Row],[COSTO UNITARIO AÑO 5 8]]*VLOOKUP(Tabla16[[#This Row],[CÓDIGO DEL PRODUCTO Y/O SERVICIO ]],Tabla3[],18,0)</calculatedColumnFormula>
    </tableColumn>
    <tableColumn id="164" xr3:uid="{00000000-0010-0000-0800-0000A4000000}" name="UNIDADES PRODUCIDAS AÑO 1 9" dataDxfId="334">
      <calculatedColumnFormula>VLOOKUP(Tabla16[[#This Row],[CÓDIGO DEL PRODUCTO Y/O SERVICIO ]],Tabla3[],3,0)</calculatedColumnFormula>
    </tableColumn>
    <tableColumn id="165" xr3:uid="{00000000-0010-0000-0800-0000A5000000}" name="CANTIDADES A UTILIZAR EN EL AÑO 1 9" dataDxfId="333">
      <calculatedColumnFormula>Tabla16[[#This Row],[UNIDADES PRODUCIDAS AÑO 1 9]]*N91</calculatedColumnFormula>
    </tableColumn>
    <tableColumn id="166" xr3:uid="{00000000-0010-0000-0800-0000A6000000}" name="CAMBIO PORCENTUAL EN UNIDADES VENDIDAS AÑO 2 9" dataDxfId="332">
      <calculatedColumnFormula>VLOOKUP(Tabla16[[#This Row],[CÓDIGO DEL PRODUCTO Y/O SERVICIO ]],Tabla3[],9,0)</calculatedColumnFormula>
    </tableColumn>
    <tableColumn id="167" xr3:uid="{00000000-0010-0000-0800-0000A7000000}" name="CANTIDADES A UTILIZAR EN EL AÑO 2 9" dataDxfId="331">
      <calculatedColumnFormula>Tabla16[[#This Row],[CANTIDADES A UTILIZAR EN EL AÑO 1 9]]*(1+Tabla16[[#This Row],[CAMBIO PORCENTUAL EN UNIDADES VENDIDAS AÑO 2 9]])</calculatedColumnFormula>
    </tableColumn>
    <tableColumn id="168" xr3:uid="{00000000-0010-0000-0800-0000A8000000}" name="CAMBIO PORCENTUAL EN UNIDADES VENDIDAS AÑO 3 9" dataDxfId="330">
      <calculatedColumnFormula>VLOOKUP(Tabla16[[#This Row],[CÓDIGO DEL PRODUCTO Y/O SERVICIO ]],Tabla3[],13,0)</calculatedColumnFormula>
    </tableColumn>
    <tableColumn id="169" xr3:uid="{00000000-0010-0000-0800-0000A9000000}" name="CANTIDADES A UTILIZAR EN EL AÑO 3 9" dataDxfId="329">
      <calculatedColumnFormula>Tabla16[[#This Row],[CANTIDADES A UTILIZAR EN EL AÑO 2 9]]*(1+Tabla16[[#This Row],[CAMBIO PORCENTUAL EN UNIDADES VENDIDAS AÑO 3 9]])</calculatedColumnFormula>
    </tableColumn>
    <tableColumn id="170" xr3:uid="{00000000-0010-0000-0800-0000AA000000}" name="CAMBIO PORCENTUAL EN UNIDADES VENDIDAS AÑO 4 9" dataDxfId="328">
      <calculatedColumnFormula>VLOOKUP(Tabla16[[#This Row],[CÓDIGO DEL PRODUCTO Y/O SERVICIO ]],Tabla3[],17,0)</calculatedColumnFormula>
    </tableColumn>
    <tableColumn id="171" xr3:uid="{00000000-0010-0000-0800-0000AB000000}" name="CANTIDADES A UTILIZAR EN EL AÑO 4 9" dataDxfId="327">
      <calculatedColumnFormula>Tabla16[[#This Row],[CANTIDADES A UTILIZAR EN EL AÑO 3 9]]*(1+Tabla16[[#This Row],[CAMBIO PORCENTUAL EN UNIDADES VENDIDAS AÑO 4 9]])</calculatedColumnFormula>
    </tableColumn>
    <tableColumn id="172" xr3:uid="{00000000-0010-0000-0800-0000AC000000}" name="CAMBIO PORCENTUAL EN UNIDADES VENDIDAS AÑO 5 9" dataDxfId="326">
      <calculatedColumnFormula>VLOOKUP(Tabla16[[#This Row],[CÓDIGO DEL PRODUCTO Y/O SERVICIO ]],Tabla3[],21,0)</calculatedColumnFormula>
    </tableColumn>
    <tableColumn id="173" xr3:uid="{00000000-0010-0000-0800-0000AD000000}" name="CANTIDADES A UTILIZAR AÑO 5 9" dataDxfId="325">
      <calculatedColumnFormula>Tabla16[[#This Row],[CANTIDADES A UTILIZAR EN EL AÑO 4 9]]*(1+Tabla16[[#This Row],[CAMBIO PORCENTUAL EN UNIDADES VENDIDAS AÑO 5 9]])</calculatedColumnFormula>
    </tableColumn>
    <tableColumn id="174" xr3:uid="{00000000-0010-0000-0800-0000AE000000}" name="COSTO POR UNIDAD DE PRODUCTO (9) " dataDxfId="324">
      <calculatedColumnFormula>IF(Tabla16[[#This Row],[CANTIDADES A UTILIZAR EN EL AÑO 1 9]]=0,0,Tabla16[[#This Row],[CANTIDADES A UTILIZAR EN EL AÑO 1 9]]*1/Tabla16[[#This Row],[UNIDADES PRODUCIDAS AÑO 1 9]])</calculatedColumnFormula>
    </tableColumn>
    <tableColumn id="175" xr3:uid="{00000000-0010-0000-0800-0000AF000000}" name="COSTO UNITARIO AÑO 2 9" dataDxfId="323">
      <calculatedColumnFormula>$C$82*(1+BASES!$E$14)</calculatedColumnFormula>
    </tableColumn>
    <tableColumn id="176" xr3:uid="{00000000-0010-0000-0800-0000B0000000}" name="COSTO UNITARIO AÑO 3 9" dataDxfId="322">
      <calculatedColumnFormula>Tabla16[[#This Row],[COSTO UNITARIO AÑO 2 9]]*(1+BASES!$F$14)</calculatedColumnFormula>
    </tableColumn>
    <tableColumn id="177" xr3:uid="{00000000-0010-0000-0800-0000B1000000}" name="COSTO UNITARIO AÑO 4 9" dataDxfId="321">
      <calculatedColumnFormula>Tabla16[[#This Row],[COSTO UNITARIO AÑO 3 9]]*(1+BASES!$G$14)</calculatedColumnFormula>
    </tableColumn>
    <tableColumn id="178" xr3:uid="{00000000-0010-0000-0800-0000B2000000}" name="COSTO UNITARIO AÑO 5 9" dataDxfId="320">
      <calculatedColumnFormula>Tabla16[[#This Row],[COSTO UNITARIO AÑO 4 9]]*(1+BASES!$H$14)</calculatedColumnFormula>
    </tableColumn>
    <tableColumn id="179" xr3:uid="{00000000-0010-0000-0800-0000B3000000}" name="AÑO 1 9" dataDxfId="319">
      <calculatedColumnFormula>Tabla16[[#This Row],[COSTO POR UNIDAD DE PRODUCTO (9) ]]*$C$82*VLOOKUP(Tabla16[[#This Row],[CÓDIGO DEL PRODUCTO Y/O SERVICIO ]],Tabla3[],3,0)</calculatedColumnFormula>
    </tableColumn>
    <tableColumn id="180" xr3:uid="{00000000-0010-0000-0800-0000B4000000}" name="AÑO 2 9" dataDxfId="318">
      <calculatedColumnFormula>Tabla16[[#This Row],[COSTO POR UNIDAD DE PRODUCTO (9) ]]*Tabla16[[#This Row],[COSTO UNITARIO AÑO 2 9]]*VLOOKUP(Tabla16[[#This Row],[CÓDIGO DEL PRODUCTO Y/O SERVICIO ]],Tabla3[],6,0)</calculatedColumnFormula>
    </tableColumn>
    <tableColumn id="181" xr3:uid="{00000000-0010-0000-0800-0000B5000000}" name="AÑO 3 9" dataDxfId="317">
      <calculatedColumnFormula>Tabla16[[#This Row],[COSTO POR UNIDAD DE PRODUCTO (9) ]]*Tabla16[[#This Row],[COSTO UNITARIO AÑO 3 9]]*VLOOKUP(Tabla16[[#This Row],[CÓDIGO DEL PRODUCTO Y/O SERVICIO ]],Tabla3[],10,0)</calculatedColumnFormula>
    </tableColumn>
    <tableColumn id="182" xr3:uid="{00000000-0010-0000-0800-0000B6000000}" name="AÑO 4 9" dataDxfId="316">
      <calculatedColumnFormula>Tabla16[[#This Row],[COSTO POR UNIDAD DE PRODUCTO (9) ]]*Tabla16[[#This Row],[COSTO UNITARIO AÑO 4 9]]*VLOOKUP(Tabla16[[#This Row],[CÓDIGO DEL PRODUCTO Y/O SERVICIO ]],Tabla3[],14,0)</calculatedColumnFormula>
    </tableColumn>
    <tableColumn id="183" xr3:uid="{00000000-0010-0000-0800-0000B7000000}" name="AÑO 5 9" dataDxfId="315">
      <calculatedColumnFormula>Tabla16[[#This Row],[COSTO POR UNIDAD DE PRODUCTO (9) ]]*Tabla16[[#This Row],[COSTO UNITARIO AÑO 5 9]]*VLOOKUP(Tabla16[[#This Row],[CÓDIGO DEL PRODUCTO Y/O SERVICIO ]],Tabla3[],18,0)</calculatedColumnFormula>
    </tableColumn>
    <tableColumn id="184" xr3:uid="{00000000-0010-0000-0800-0000B8000000}" name="UNIDADES PRODUCIDAS AÑO 1 10" dataDxfId="314">
      <calculatedColumnFormula>VLOOKUP(Tabla16[[#This Row],[CÓDIGO DEL PRODUCTO Y/O SERVICIO ]],Tabla3[],3,0)</calculatedColumnFormula>
    </tableColumn>
    <tableColumn id="185" xr3:uid="{00000000-0010-0000-0800-0000B9000000}" name="CANTIDADES A UTILIZAR EN EL AÑO 1 10" dataDxfId="313">
      <calculatedColumnFormula>Tabla16[[#This Row],[UNIDADES PRODUCIDAS AÑO 1 10]]*O91</calculatedColumnFormula>
    </tableColumn>
    <tableColumn id="186" xr3:uid="{00000000-0010-0000-0800-0000BA000000}" name="CAMBIO PORCENTUAL EN UNIDADES VENDIDAS AÑO 2 10" dataDxfId="312">
      <calculatedColumnFormula>VLOOKUP(Tabla16[[#This Row],[CÓDIGO DEL PRODUCTO Y/O SERVICIO ]],Tabla3[],9,0)</calculatedColumnFormula>
    </tableColumn>
    <tableColumn id="187" xr3:uid="{00000000-0010-0000-0800-0000BB000000}" name="CANTIDADES A UTILIZAR EN EL AÑO 2 10" dataDxfId="311">
      <calculatedColumnFormula>Tabla16[[#This Row],[CANTIDADES A UTILIZAR EN EL AÑO 1 10]]*(1+Tabla16[[#This Row],[CAMBIO PORCENTUAL EN UNIDADES VENDIDAS AÑO 2 10]])</calculatedColumnFormula>
    </tableColumn>
    <tableColumn id="188" xr3:uid="{00000000-0010-0000-0800-0000BC000000}" name="CAMBIO PORCENTUAL EN UNIDADES VENDIDAS AÑO 3 10" dataDxfId="310">
      <calculatedColumnFormula>VLOOKUP(Tabla16[[#This Row],[CÓDIGO DEL PRODUCTO Y/O SERVICIO ]],Tabla3[],13,0)</calculatedColumnFormula>
    </tableColumn>
    <tableColumn id="189" xr3:uid="{00000000-0010-0000-0800-0000BD000000}" name="CANTIDADES A UTILIZAR EN EL AÑO 3 10" dataDxfId="309">
      <calculatedColumnFormula>Tabla16[[#This Row],[CANTIDADES A UTILIZAR EN EL AÑO 2 10]]*(1+Tabla16[[#This Row],[CAMBIO PORCENTUAL EN UNIDADES VENDIDAS AÑO 3 10]])</calculatedColumnFormula>
    </tableColumn>
    <tableColumn id="190" xr3:uid="{00000000-0010-0000-0800-0000BE000000}" name="CAMBIO PORCENTUAL EN UNIDADES VENDIDAS AÑO 4 10 " dataDxfId="308">
      <calculatedColumnFormula>VLOOKUP(Tabla16[[#This Row],[CÓDIGO DEL PRODUCTO Y/O SERVICIO ]],Tabla3[],17,0)</calculatedColumnFormula>
    </tableColumn>
    <tableColumn id="191" xr3:uid="{00000000-0010-0000-0800-0000BF000000}" name="CANTIDADES A UTILIZAR EN EL AÑO 4 10" dataDxfId="307">
      <calculatedColumnFormula>Tabla16[[#This Row],[CANTIDADES A UTILIZAR EN EL AÑO 3 10]]*(1+Tabla16[[#This Row],[CAMBIO PORCENTUAL EN UNIDADES VENDIDAS AÑO 4 10 ]])</calculatedColumnFormula>
    </tableColumn>
    <tableColumn id="192" xr3:uid="{00000000-0010-0000-0800-0000C0000000}" name="CAMBIO PORCENTUAL EN UNIDADES VENDIDAS AÑO 5 10" dataDxfId="306">
      <calculatedColumnFormula>VLOOKUP(Tabla16[[#This Row],[CÓDIGO DEL PRODUCTO Y/O SERVICIO ]],Tabla3[],21,0)</calculatedColumnFormula>
    </tableColumn>
    <tableColumn id="193" xr3:uid="{00000000-0010-0000-0800-0000C1000000}" name="CANTIDADES A UTILIZAR AÑO 5 10" dataDxfId="305">
      <calculatedColumnFormula>Tabla16[[#This Row],[CANTIDADES A UTILIZAR EN EL AÑO 4 10]]*(1+Tabla16[[#This Row],[CAMBIO PORCENTUAL EN UNIDADES VENDIDAS AÑO 5 10]])</calculatedColumnFormula>
    </tableColumn>
    <tableColumn id="194" xr3:uid="{00000000-0010-0000-0800-0000C2000000}" name="COSTO POR UNIDAD DE PRODUCTO (10) " dataDxfId="304">
      <calculatedColumnFormula>IF(Tabla16[[#This Row],[CANTIDADES A UTILIZAR EN EL AÑO 1 10]]=0,0,Tabla16[[#This Row],[CANTIDADES A UTILIZAR EN EL AÑO 1 10]]*1/Tabla16[[#This Row],[UNIDADES PRODUCIDAS AÑO 1 10]])</calculatedColumnFormula>
    </tableColumn>
    <tableColumn id="195" xr3:uid="{00000000-0010-0000-0800-0000C3000000}" name="COSTO UNITARIO AÑO 2 10" dataDxfId="303">
      <calculatedColumnFormula>$C$83*(1+BASES!$E$14)</calculatedColumnFormula>
    </tableColumn>
    <tableColumn id="196" xr3:uid="{00000000-0010-0000-0800-0000C4000000}" name="COSTO UNITARIO AÑO 3 10" dataDxfId="302">
      <calculatedColumnFormula>Tabla16[[#This Row],[COSTO UNITARIO AÑO 2 10]]*(1+BASES!$F$14)</calculatedColumnFormula>
    </tableColumn>
    <tableColumn id="197" xr3:uid="{00000000-0010-0000-0800-0000C5000000}" name="COSTO UNITARIO AÑO 4 10" dataDxfId="301">
      <calculatedColumnFormula>Tabla16[[#This Row],[COSTO UNITARIO AÑO 3 10]]*(1+BASES!$G$14)</calculatedColumnFormula>
    </tableColumn>
    <tableColumn id="198" xr3:uid="{00000000-0010-0000-0800-0000C6000000}" name="COSTO UNITARIO AÑO 5 10" dataDxfId="300">
      <calculatedColumnFormula>Tabla16[[#This Row],[COSTO UNITARIO AÑO 4 10]]*(1+BASES!$H$14)</calculatedColumnFormula>
    </tableColumn>
    <tableColumn id="199" xr3:uid="{00000000-0010-0000-0800-0000C7000000}" name="AÑO 1 10" dataDxfId="299">
      <calculatedColumnFormula>Tabla16[[#This Row],[COSTO POR UNIDAD DE PRODUCTO (10) ]]*C83*VLOOKUP(Tabla16[[#This Row],[CÓDIGO DEL PRODUCTO Y/O SERVICIO ]],Tabla3[],3,0)</calculatedColumnFormula>
    </tableColumn>
    <tableColumn id="200" xr3:uid="{00000000-0010-0000-0800-0000C8000000}" name="AÑO 2 10" dataDxfId="298">
      <calculatedColumnFormula>Tabla16[[#This Row],[COSTO POR UNIDAD DE PRODUCTO (10) ]]*Tabla16[[#This Row],[COSTO UNITARIO AÑO 2 10]]*VLOOKUP(Tabla16[[#This Row],[CÓDIGO DEL PRODUCTO Y/O SERVICIO ]],Tabla3[],6,0)</calculatedColumnFormula>
    </tableColumn>
    <tableColumn id="201" xr3:uid="{00000000-0010-0000-0800-0000C9000000}" name="AÑO 3 10" dataDxfId="297">
      <calculatedColumnFormula>Tabla16[[#This Row],[COSTO POR UNIDAD DE PRODUCTO (10) ]]*Tabla16[[#This Row],[COSTO UNITARIO AÑO 3 10]]*VLOOKUP(Tabla16[[#This Row],[CÓDIGO DEL PRODUCTO Y/O SERVICIO ]],Tabla3[],10,0)</calculatedColumnFormula>
    </tableColumn>
    <tableColumn id="202" xr3:uid="{00000000-0010-0000-0800-0000CA000000}" name="AÑO 4 10" dataDxfId="296">
      <calculatedColumnFormula>Tabla16[[#This Row],[COSTO POR UNIDAD DE PRODUCTO (10) ]]*Tabla16[[#This Row],[COSTO UNITARIO AÑO 4 10]]*VLOOKUP(Tabla16[[#This Row],[CÓDIGO DEL PRODUCTO Y/O SERVICIO ]],Tabla3[],14,0)</calculatedColumnFormula>
    </tableColumn>
    <tableColumn id="203" xr3:uid="{00000000-0010-0000-0800-0000CB000000}" name="AÑO 5 10" dataDxfId="295">
      <calculatedColumnFormula>Tabla16[[#This Row],[COSTO POR UNIDAD DE PRODUCTO (10) ]]*Tabla16[[#This Row],[COSTO UNITARIO AÑO 5 10]]*VLOOKUP(Tabla16[[#This Row],[CÓDIGO DEL PRODUCTO Y/O SERVICIO ]],Tabla3[],18,0)</calculatedColumnFormula>
    </tableColumn>
    <tableColumn id="204" xr3:uid="{00000000-0010-0000-0800-0000CC000000}" name="AÑO 1 11" dataDxfId="294">
      <calculatedColumnFormula>Tabla16[[#This Row],[AÑO 1 10]]+Tabla16[[#This Row],[AÑO 1 9]]+Tabla16[[#This Row],[AÑO 1 8]]+Tabla16[[#This Row],[AÑO 1 7]]+Tabla16[[#This Row],[AÑO 1 6]]+Tabla16[[#This Row],[AÑO 1 5]]+Tabla16[[#This Row],[AÑO 1 4]]+Tabla16[[#This Row],[AÑO 1 3]]+Tabla16[[#This Row],[AÑO 1 2]]+Tabla16[[#This Row],[AÑO 1 1]]</calculatedColumnFormula>
    </tableColumn>
    <tableColumn id="205" xr3:uid="{00000000-0010-0000-0800-0000CD000000}" name="AÑO 2 11" dataDxfId="293">
      <calculatedColumnFormula>Tabla16[[#This Row],[AÑO 2 10]]+Tabla16[[#This Row],[AÑO 2 9]]+Tabla16[[#This Row],[AÑO 2 8]]+Tabla16[[#This Row],[AÑO 2 7]]+Tabla16[[#This Row],[AÑO 2 6]]+Tabla16[[#This Row],[AÑO 2 5]]+Tabla16[[#This Row],[AÑO 2 4]]+Tabla16[[#This Row],[AÑO 2 3]]+Tabla16[[#This Row],[AÑO 2 2]]+Tabla16[[#This Row],[AÑO 2 1]]</calculatedColumnFormula>
    </tableColumn>
    <tableColumn id="206" xr3:uid="{00000000-0010-0000-0800-0000CE000000}" name="AÑO 3 11" dataDxfId="292">
      <calculatedColumnFormula>Tabla16[[#This Row],[AÑO 3 10]]+Tabla16[[#This Row],[AÑO 3 9]]+Tabla16[[#This Row],[AÑO 3 8]]+Tabla16[[#This Row],[AÑO 3 7]]+Tabla16[[#This Row],[AÑO 3 6]]+Tabla16[[#This Row],[AÑO 3 5]]+Tabla16[[#This Row],[AÑO 3 4]]+Tabla16[[#This Row],[AÑO 3 3]]+Tabla16[[#This Row],[AÑO 3 2]]+Tabla16[[#This Row],[AÑO 3 1]]</calculatedColumnFormula>
    </tableColumn>
    <tableColumn id="207" xr3:uid="{00000000-0010-0000-0800-0000CF000000}" name="AÑO 4 11 " dataDxfId="291">
      <calculatedColumnFormula>Tabla16[[#This Row],[AÑO 4 10]]+Tabla16[[#This Row],[AÑO 4 9]]+Tabla16[[#This Row],[AÑO 4 8]]+Tabla16[[#This Row],[AÑO 4 7]]+Tabla16[[#This Row],[AÑO 4 6]]+Tabla16[[#This Row],[AÑO 4 5]]+Tabla16[[#This Row],[AÑO 4 4 ]]+Tabla16[[#This Row],[AÑO 4 3]]+Tabla16[[#This Row],[AÑO 4 2]]+Tabla16[[#This Row],[AÑO 4 1]]</calculatedColumnFormula>
    </tableColumn>
    <tableColumn id="208" xr3:uid="{00000000-0010-0000-0800-0000D0000000}" name="AÑO 5 11" dataDxfId="290">
      <calculatedColumnFormula>Tabla16[[#This Row],[AÑO 5 10]]+Tabla16[[#This Row],[AÑO 5 9]]+Tabla16[[#This Row],[AÑO 5 8]]+Tabla16[[#This Row],[AÑO 5 7]]+Tabla16[[#This Row],[AÑO 5 6]]+Tabla16[[#This Row],[AÑO 5 5]]+Tabla16[[#This Row],[AÑO 5 4]]+Tabla16[[#This Row],[AÑO 5 3]]+Tabla16[[#This Row],[AÑO 5 2]]+Tabla16[[#This Row],[AÑO 5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a12" displayName="Tabla12" ref="C160:HB161" totalsRowShown="0" headerRowDxfId="289" dataDxfId="288">
  <autoFilter ref="C160:HB161" xr:uid="{00000000-0009-0000-0100-00000C000000}"/>
  <tableColumns count="208">
    <tableColumn id="1" xr3:uid="{00000000-0010-0000-0900-000001000000}" name="CÓDIGO DEL PRODUCTO Y/O SERVICIO " dataDxfId="287"/>
    <tableColumn id="2" xr3:uid="{00000000-0010-0000-0900-000002000000}" name="NOMBRE DEL PRODUCTO Y/O SERVICIO " dataDxfId="286">
      <calculatedColumnFormula>VLOOKUP(Tabla12[[#This Row],[CÓDIGO DEL PRODUCTO Y/O SERVICIO ]],Tabla3[],2,0)</calculatedColumnFormula>
    </tableColumn>
    <tableColumn id="3" xr3:uid="{00000000-0010-0000-0900-000003000000}" name="Columna1" dataDxfId="285"/>
    <tableColumn id="4" xr3:uid="{00000000-0010-0000-0900-000004000000}" name="UNIDADES PRODUCIDAS AÑO 1 1 " dataDxfId="284">
      <calculatedColumnFormula>VLOOKUP(Tabla12[[#This Row],[CÓDIGO DEL PRODUCTO Y/O SERVICIO ]],Tabla3[],3,0)</calculatedColumnFormula>
    </tableColumn>
    <tableColumn id="5" xr3:uid="{00000000-0010-0000-0900-000005000000}" name="CANTIDADES A UTILIZAR EN EL AÑO 1 1" dataDxfId="283">
      <calculatedColumnFormula>Tabla12[[#This Row],[UNIDADES PRODUCIDAS AÑO 1 1 ]]*$F$143</calculatedColumnFormula>
    </tableColumn>
    <tableColumn id="6" xr3:uid="{00000000-0010-0000-0900-000006000000}" name="CAMBIO PORCENTUAL EN UNIDADES VENDIDAS AÑO 2 1 " dataDxfId="282">
      <calculatedColumnFormula>VLOOKUP(Tabla12[[#This Row],[CÓDIGO DEL PRODUCTO Y/O SERVICIO ]],Tabla3[],9,0)</calculatedColumnFormula>
    </tableColumn>
    <tableColumn id="7" xr3:uid="{00000000-0010-0000-0900-000007000000}" name="CANTIDADES A UTILIZAR EN EL AÑO 2 1" dataDxfId="281">
      <calculatedColumnFormula>Tabla12[[#This Row],[CANTIDADES A UTILIZAR EN EL AÑO 1 1]]*(1+Tabla12[[#This Row],[CAMBIO PORCENTUAL EN UNIDADES VENDIDAS AÑO 2 1 ]])</calculatedColumnFormula>
    </tableColumn>
    <tableColumn id="8" xr3:uid="{00000000-0010-0000-0900-000008000000}" name="CAMBIO PORCENTUAL EN UNIDADES VENDIDAS AÑO 3 1 " dataDxfId="280">
      <calculatedColumnFormula>VLOOKUP(Tabla12[[#This Row],[CÓDIGO DEL PRODUCTO Y/O SERVICIO ]],Tabla3[],13,0)</calculatedColumnFormula>
    </tableColumn>
    <tableColumn id="9" xr3:uid="{00000000-0010-0000-0900-000009000000}" name="CANTIDADES A UTILIZAR EN EL AÑO 3 1 " dataDxfId="279">
      <calculatedColumnFormula>Tabla12[[#This Row],[CANTIDADES A UTILIZAR EN EL AÑO 2 1]]*(1+Tabla12[[#This Row],[CAMBIO PORCENTUAL EN UNIDADES VENDIDAS AÑO 3 1 ]])</calculatedColumnFormula>
    </tableColumn>
    <tableColumn id="10" xr3:uid="{00000000-0010-0000-0900-00000A000000}" name="CAMBIO PORCENTUAL EN UNIDADES VENDIDAS AÑO 4 1" dataDxfId="278">
      <calculatedColumnFormula>VLOOKUP(Tabla12[[#This Row],[CÓDIGO DEL PRODUCTO Y/O SERVICIO ]],Tabla3[],17,0)</calculatedColumnFormula>
    </tableColumn>
    <tableColumn id="11" xr3:uid="{00000000-0010-0000-0900-00000B000000}" name="CANTIDADES A UTILIZAR EN EL AÑO 4 1 " dataDxfId="277">
      <calculatedColumnFormula>Tabla12[[#This Row],[CANTIDADES A UTILIZAR EN EL AÑO 3 1 ]]*(1+Tabla12[[#This Row],[CAMBIO PORCENTUAL EN UNIDADES VENDIDAS AÑO 4 1]])</calculatedColumnFormula>
    </tableColumn>
    <tableColumn id="12" xr3:uid="{00000000-0010-0000-0900-00000C000000}" name="CAMBIO PORCENTUAL EN UNIDADES VENDIDAS AÑO 5 1 " dataDxfId="276">
      <calculatedColumnFormula>VLOOKUP(Tabla12[[#This Row],[CÓDIGO DEL PRODUCTO Y/O SERVICIO ]],Tabla3[],21,0)</calculatedColumnFormula>
    </tableColumn>
    <tableColumn id="13" xr3:uid="{00000000-0010-0000-0900-00000D000000}" name="CANTIDADES A UTILIZAR AÑO 5 1 " dataDxfId="275">
      <calculatedColumnFormula>Tabla12[[#This Row],[CANTIDADES A UTILIZAR EN EL AÑO 4 1 ]]*(1+Tabla12[[#This Row],[CAMBIO PORCENTUAL EN UNIDADES VENDIDAS AÑO 5 1 ]])</calculatedColumnFormula>
    </tableColumn>
    <tableColumn id="14" xr3:uid="{00000000-0010-0000-0900-00000E000000}" name="COSTO POR UNIDAD DE PRODUCTO (1)" dataDxfId="274">
      <calculatedColumnFormula>IF(Tabla12[[#This Row],[CANTIDADES A UTILIZAR EN EL AÑO 1 1]]=0,0,Tabla12[[#This Row],[CANTIDADES A UTILIZAR EN EL AÑO 1 1]]*1/Tabla12[[#This Row],[UNIDADES PRODUCIDAS AÑO 1 1 ]])</calculatedColumnFormula>
    </tableColumn>
    <tableColumn id="15" xr3:uid="{00000000-0010-0000-0900-00000F000000}" name="COSTO UNITARIO AÑO 2 1 " dataDxfId="273">
      <calculatedColumnFormula>$C$126*(1+BASES!$E$14)</calculatedColumnFormula>
    </tableColumn>
    <tableColumn id="16" xr3:uid="{00000000-0010-0000-0900-000010000000}" name="COSTO UNITARIO AÑO 3 1 " dataDxfId="272">
      <calculatedColumnFormula>Tabla12[[#This Row],[COSTO UNITARIO AÑO 2 1 ]]*(1+BASES!$F$14)</calculatedColumnFormula>
    </tableColumn>
    <tableColumn id="17" xr3:uid="{00000000-0010-0000-0900-000011000000}" name="COSTO UNITARIO AÑO 4 1 " dataDxfId="271">
      <calculatedColumnFormula>Tabla12[[#This Row],[COSTO UNITARIO AÑO 3 1 ]]*(1+BASES!$G$14)</calculatedColumnFormula>
    </tableColumn>
    <tableColumn id="18" xr3:uid="{00000000-0010-0000-0900-000012000000}" name="COSTO UNITARIO AÑO 5 1 " dataDxfId="270">
      <calculatedColumnFormula>Tabla12[[#This Row],[COSTO UNITARIO AÑO 4 1 ]]*(1+BASES!$H$14)</calculatedColumnFormula>
    </tableColumn>
    <tableColumn id="19" xr3:uid="{00000000-0010-0000-0900-000013000000}" name="AÑO 1 1" dataDxfId="269">
      <calculatedColumnFormula>Tabla12[[#This Row],[COSTO POR UNIDAD DE PRODUCTO (1)]]*$C$126*VLOOKUP(Tabla12[[#This Row],[CÓDIGO DEL PRODUCTO Y/O SERVICIO ]],Tabla3[],3,0)</calculatedColumnFormula>
    </tableColumn>
    <tableColumn id="20" xr3:uid="{00000000-0010-0000-0900-000014000000}" name="AÑO 2 1 " dataDxfId="268">
      <calculatedColumnFormula>Tabla12[[#This Row],[COSTO POR UNIDAD DE PRODUCTO (1)]]*Tabla12[[#This Row],[COSTO UNITARIO AÑO 2 1 ]]*VLOOKUP(Tabla12[[#This Row],[CÓDIGO DEL PRODUCTO Y/O SERVICIO ]],Tabla3[],6,0)</calculatedColumnFormula>
    </tableColumn>
    <tableColumn id="21" xr3:uid="{00000000-0010-0000-0900-000015000000}" name="AÑO 3 1 " dataDxfId="267">
      <calculatedColumnFormula>Tabla12[[#This Row],[COSTO POR UNIDAD DE PRODUCTO (1)]]*Tabla12[[#This Row],[COSTO UNITARIO AÑO 3 1 ]]*VLOOKUP(Tabla12[[#This Row],[CÓDIGO DEL PRODUCTO Y/O SERVICIO ]],Tabla3[],10,0)</calculatedColumnFormula>
    </tableColumn>
    <tableColumn id="22" xr3:uid="{00000000-0010-0000-0900-000016000000}" name="AÑO 4 1 " dataDxfId="266">
      <calculatedColumnFormula>Tabla12[[#This Row],[COSTO POR UNIDAD DE PRODUCTO (1)]]*Tabla12[[#This Row],[COSTO UNITARIO AÑO 4 1 ]]*VLOOKUP(Tabla12[[#This Row],[CÓDIGO DEL PRODUCTO Y/O SERVICIO ]],Tabla3[],14,0)</calculatedColumnFormula>
    </tableColumn>
    <tableColumn id="23" xr3:uid="{00000000-0010-0000-0900-000017000000}" name="AÑO 5 1 " dataDxfId="265">
      <calculatedColumnFormula>Tabla12[[#This Row],[COSTO POR UNIDAD DE PRODUCTO (1)]]*Tabla12[[#This Row],[COSTO UNITARIO AÑO 5 1 ]]*VLOOKUP(Tabla12[[#This Row],[CÓDIGO DEL PRODUCTO Y/O SERVICIO ]],Tabla3[],18,0)</calculatedColumnFormula>
    </tableColumn>
    <tableColumn id="24" xr3:uid="{00000000-0010-0000-0900-000018000000}" name="UNIDADES PRODUCIDAS AÑO 1 2" dataDxfId="264">
      <calculatedColumnFormula>VLOOKUP(Tabla12[[#This Row],[CÓDIGO DEL PRODUCTO Y/O SERVICIO ]],Tabla3[],3,0)</calculatedColumnFormula>
    </tableColumn>
    <tableColumn id="25" xr3:uid="{00000000-0010-0000-0900-000019000000}" name="CANTIDADES A UTILIZAR EN EL AÑO 1 2 " dataDxfId="263">
      <calculatedColumnFormula>Tabla12[[#This Row],[UNIDADES PRODUCIDAS AÑO 1 2]]*G143</calculatedColumnFormula>
    </tableColumn>
    <tableColumn id="26" xr3:uid="{00000000-0010-0000-0900-00001A000000}" name="CAMBIO PORCENTUAL EN UNIDADES VENDIDAS AÑO 2 2 " dataDxfId="262">
      <calculatedColumnFormula>VLOOKUP(Tabla12[[#This Row],[CÓDIGO DEL PRODUCTO Y/O SERVICIO ]],Tabla3[],9,0)</calculatedColumnFormula>
    </tableColumn>
    <tableColumn id="27" xr3:uid="{00000000-0010-0000-0900-00001B000000}" name="CANTIDADES A UTILIZAR EN EL AÑO 2 2 " dataDxfId="261">
      <calculatedColumnFormula>Tabla12[[#This Row],[CANTIDADES A UTILIZAR EN EL AÑO 1 2 ]]*(1+Tabla12[[#This Row],[CAMBIO PORCENTUAL EN UNIDADES VENDIDAS AÑO 2 2 ]])</calculatedColumnFormula>
    </tableColumn>
    <tableColumn id="28" xr3:uid="{00000000-0010-0000-0900-00001C000000}" name="CAMBIO PORCENTUAL EN UNIDADES VENDIDAS AÑO 3 2" dataDxfId="260">
      <calculatedColumnFormula>VLOOKUP(Tabla12[[#This Row],[CÓDIGO DEL PRODUCTO Y/O SERVICIO ]],Tabla3[],13,0)</calculatedColumnFormula>
    </tableColumn>
    <tableColumn id="29" xr3:uid="{00000000-0010-0000-0900-00001D000000}" name="CANTIDADES A UTILIZAR EN EL AÑO 3 2" dataDxfId="259">
      <calculatedColumnFormula>Tabla12[[#This Row],[CANTIDADES A UTILIZAR EN EL AÑO 2 2 ]]*(1+Tabla12[[#This Row],[CAMBIO PORCENTUAL EN UNIDADES VENDIDAS AÑO 3 2]])</calculatedColumnFormula>
    </tableColumn>
    <tableColumn id="30" xr3:uid="{00000000-0010-0000-0900-00001E000000}" name="CAMBIO PORCENTUAL EN UNIDADES VENDIDAS AÑO 4 2" dataDxfId="258">
      <calculatedColumnFormula>VLOOKUP(Tabla12[[#This Row],[CÓDIGO DEL PRODUCTO Y/O SERVICIO ]],Tabla3[],17,0)</calculatedColumnFormula>
    </tableColumn>
    <tableColumn id="31" xr3:uid="{00000000-0010-0000-0900-00001F000000}" name="CANTIDADES A UTILIZAR EN EL AÑO 4 2" dataDxfId="257">
      <calculatedColumnFormula>Tabla12[[#This Row],[CANTIDADES A UTILIZAR EN EL AÑO 3 2]]*(1+Tabla12[[#This Row],[CAMBIO PORCENTUAL EN UNIDADES VENDIDAS AÑO 4 2]])</calculatedColumnFormula>
    </tableColumn>
    <tableColumn id="32" xr3:uid="{00000000-0010-0000-0900-000020000000}" name="CAMBIO PORCENTUAL EN UNIDADES VENDIDAS AÑO 5 2" dataDxfId="256">
      <calculatedColumnFormula>VLOOKUP(Tabla12[[#This Row],[CÓDIGO DEL PRODUCTO Y/O SERVICIO ]],Tabla3[],21,0)</calculatedColumnFormula>
    </tableColumn>
    <tableColumn id="33" xr3:uid="{00000000-0010-0000-0900-000021000000}" name="CANTIDADES A UTILIZAR AÑO 5 2 " dataDxfId="255">
      <calculatedColumnFormula>Tabla12[[#This Row],[CANTIDADES A UTILIZAR EN EL AÑO 4 2]]*(1+Tabla12[[#This Row],[CAMBIO PORCENTUAL EN UNIDADES VENDIDAS AÑO 5 2]])</calculatedColumnFormula>
    </tableColumn>
    <tableColumn id="34" xr3:uid="{00000000-0010-0000-0900-000022000000}" name="COSTO POR UNIDAD DE PRODUCTO (2)" dataDxfId="254">
      <calculatedColumnFormula>IF(Tabla12[[#This Row],[CANTIDADES A UTILIZAR EN EL AÑO 1 2 ]]=0,0,Tabla12[[#This Row],[CANTIDADES A UTILIZAR EN EL AÑO 1 2 ]]*1/Tabla12[[#This Row],[UNIDADES PRODUCIDAS AÑO 1 2]])</calculatedColumnFormula>
    </tableColumn>
    <tableColumn id="35" xr3:uid="{00000000-0010-0000-0900-000023000000}" name="COSTO UNITARIO AÑO 2 2" dataDxfId="253">
      <calculatedColumnFormula>$C$127*(1+BASES!$E$14)</calculatedColumnFormula>
    </tableColumn>
    <tableColumn id="36" xr3:uid="{00000000-0010-0000-0900-000024000000}" name="COSTO UNITARIO AÑO 3 2 " dataDxfId="252">
      <calculatedColumnFormula>Tabla12[[#This Row],[COSTO UNITARIO AÑO 2 2]]*(1+BASES!$F$14)</calculatedColumnFormula>
    </tableColumn>
    <tableColumn id="37" xr3:uid="{00000000-0010-0000-0900-000025000000}" name="COSTO UNITARIO AÑO 4 2 " dataDxfId="251">
      <calculatedColumnFormula>Tabla12[[#This Row],[COSTO UNITARIO AÑO 3 2 ]]*(1+BASES!$G$14)</calculatedColumnFormula>
    </tableColumn>
    <tableColumn id="38" xr3:uid="{00000000-0010-0000-0900-000026000000}" name="COSTO UNITARIO AÑO 5 2 " dataDxfId="250">
      <calculatedColumnFormula>Tabla12[[#This Row],[COSTO UNITARIO AÑO 4 2 ]]*(1+BASES!$H$14)</calculatedColumnFormula>
    </tableColumn>
    <tableColumn id="39" xr3:uid="{00000000-0010-0000-0900-000027000000}" name="AÑO 1 2" dataDxfId="249">
      <calculatedColumnFormula>Tabla12[[#This Row],[COSTO POR UNIDAD DE PRODUCTO (2)]]*$C$127*VLOOKUP(Tabla12[[#This Row],[CÓDIGO DEL PRODUCTO Y/O SERVICIO ]],Tabla3[],3,0)</calculatedColumnFormula>
    </tableColumn>
    <tableColumn id="40" xr3:uid="{00000000-0010-0000-0900-000028000000}" name="AÑO 2 2 " dataDxfId="248">
      <calculatedColumnFormula>Tabla12[[#This Row],[COSTO POR UNIDAD DE PRODUCTO (2)]]*Tabla12[[#This Row],[COSTO UNITARIO AÑO 2 2]]*VLOOKUP(Tabla12[[#This Row],[CÓDIGO DEL PRODUCTO Y/O SERVICIO ]],Tabla3[],6,0)</calculatedColumnFormula>
    </tableColumn>
    <tableColumn id="41" xr3:uid="{00000000-0010-0000-0900-000029000000}" name="AÑO 3 2 " dataDxfId="247">
      <calculatedColumnFormula>Tabla12[[#This Row],[COSTO POR UNIDAD DE PRODUCTO (2)]]*Tabla12[[#This Row],[COSTO UNITARIO AÑO 3 2 ]]*VLOOKUP(Tabla12[[#This Row],[CÓDIGO DEL PRODUCTO Y/O SERVICIO ]],Tabla3[],10,0)</calculatedColumnFormula>
    </tableColumn>
    <tableColumn id="42" xr3:uid="{00000000-0010-0000-0900-00002A000000}" name="AÑO 4 2 " dataDxfId="246">
      <calculatedColumnFormula>Tabla12[[#This Row],[COSTO POR UNIDAD DE PRODUCTO (2)]]*Tabla12[[#This Row],[COSTO UNITARIO AÑO 4 2 ]]*VLOOKUP(Tabla12[[#This Row],[CÓDIGO DEL PRODUCTO Y/O SERVICIO ]],Tabla3[],14,0)</calculatedColumnFormula>
    </tableColumn>
    <tableColumn id="43" xr3:uid="{00000000-0010-0000-0900-00002B000000}" name="AÑO 5 2 " dataDxfId="245">
      <calculatedColumnFormula>Tabla12[[#This Row],[COSTO POR UNIDAD DE PRODUCTO (2)]]*Tabla12[[#This Row],[COSTO UNITARIO AÑO 5 2 ]]*VLOOKUP(Tabla12[[#This Row],[CÓDIGO DEL PRODUCTO Y/O SERVICIO ]],Tabla3[],18,0)</calculatedColumnFormula>
    </tableColumn>
    <tableColumn id="44" xr3:uid="{00000000-0010-0000-0900-00002C000000}" name="UNIDADES PRODUCIDAS AÑO 1 3" dataDxfId="244">
      <calculatedColumnFormula>VLOOKUP(Tabla12[[#This Row],[CÓDIGO DEL PRODUCTO Y/O SERVICIO ]],Tabla3[],3,0)</calculatedColumnFormula>
    </tableColumn>
    <tableColumn id="45" xr3:uid="{00000000-0010-0000-0900-00002D000000}" name="CANTIDADES A UTILIZAR EN EL AÑO 1 3" dataDxfId="243">
      <calculatedColumnFormula>Tabla12[[#This Row],[UNIDADES PRODUCIDAS AÑO 1 3]]*H143</calculatedColumnFormula>
    </tableColumn>
    <tableColumn id="46" xr3:uid="{00000000-0010-0000-0900-00002E000000}" name="CAMBIO PORCENTUAL EN UNIDADES VENDIDAS AÑO 2 3" dataDxfId="242">
      <calculatedColumnFormula>VLOOKUP(Tabla12[[#This Row],[CÓDIGO DEL PRODUCTO Y/O SERVICIO ]],Tabla3[],9,0)</calculatedColumnFormula>
    </tableColumn>
    <tableColumn id="47" xr3:uid="{00000000-0010-0000-0900-00002F000000}" name="CANTIDADES A UTILIZAR EN EL AÑO 2 3" dataDxfId="241">
      <calculatedColumnFormula>Tabla12[[#This Row],[CANTIDADES A UTILIZAR EN EL AÑO 1 3]]*(1+Tabla12[[#This Row],[CAMBIO PORCENTUAL EN UNIDADES VENDIDAS AÑO 2 3]])</calculatedColumnFormula>
    </tableColumn>
    <tableColumn id="48" xr3:uid="{00000000-0010-0000-0900-000030000000}" name="CAMBIO PORCENTUAL EN UNIDADES VENDIDAS AÑO 3 3" dataDxfId="240">
      <calculatedColumnFormula>VLOOKUP(Tabla12[[#This Row],[CÓDIGO DEL PRODUCTO Y/O SERVICIO ]],Tabla3[],13,0)</calculatedColumnFormula>
    </tableColumn>
    <tableColumn id="49" xr3:uid="{00000000-0010-0000-0900-000031000000}" name="CANTIDADES A UTILIZAR EN EL AÑO 3 3" dataDxfId="239">
      <calculatedColumnFormula>Tabla12[[#This Row],[CANTIDADES A UTILIZAR EN EL AÑO 2 3]]*(1+Tabla12[[#This Row],[CAMBIO PORCENTUAL EN UNIDADES VENDIDAS AÑO 3 3]])</calculatedColumnFormula>
    </tableColumn>
    <tableColumn id="50" xr3:uid="{00000000-0010-0000-0900-000032000000}" name="CAMBIO PORCENTUAL EN UNIDADES VENDIDAS AÑO 4 3" dataDxfId="238">
      <calculatedColumnFormula>VLOOKUP(Tabla12[[#This Row],[CÓDIGO DEL PRODUCTO Y/O SERVICIO ]],Tabla3[],17,0)</calculatedColumnFormula>
    </tableColumn>
    <tableColumn id="51" xr3:uid="{00000000-0010-0000-0900-000033000000}" name="CANTIDADES A UTILIZAR EN EL AÑO 4 3" dataDxfId="237">
      <calculatedColumnFormula>Tabla12[[#This Row],[CANTIDADES A UTILIZAR EN EL AÑO 3 3]]*(1+Tabla12[[#This Row],[CAMBIO PORCENTUAL EN UNIDADES VENDIDAS AÑO 4 3]])</calculatedColumnFormula>
    </tableColumn>
    <tableColumn id="52" xr3:uid="{00000000-0010-0000-0900-000034000000}" name="CAMBIO PORCENTUAL EN UNIDADES VENDIDAS AÑO 5 3" dataDxfId="236">
      <calculatedColumnFormula>VLOOKUP(Tabla12[[#This Row],[CÓDIGO DEL PRODUCTO Y/O SERVICIO ]],Tabla3[],21,0)</calculatedColumnFormula>
    </tableColumn>
    <tableColumn id="53" xr3:uid="{00000000-0010-0000-0900-000035000000}" name="CANTIDADES A UTILIZAR AÑO 5 3 " dataDxfId="235">
      <calculatedColumnFormula>Tabla12[[#This Row],[CANTIDADES A UTILIZAR EN EL AÑO 4 3]]*(1+Tabla12[[#This Row],[CAMBIO PORCENTUAL EN UNIDADES VENDIDAS AÑO 5 3]])</calculatedColumnFormula>
    </tableColumn>
    <tableColumn id="54" xr3:uid="{00000000-0010-0000-0900-000036000000}" name="COSTO POR UNIDAD DE PRODUCTO (3)" dataDxfId="234">
      <calculatedColumnFormula>IF(Tabla12[[#This Row],[CANTIDADES A UTILIZAR EN EL AÑO 1 3]]=0,0,Tabla12[[#This Row],[CANTIDADES A UTILIZAR EN EL AÑO 1 3]]*1/Tabla12[[#This Row],[UNIDADES PRODUCIDAS AÑO 1 3]])</calculatedColumnFormula>
    </tableColumn>
    <tableColumn id="55" xr3:uid="{00000000-0010-0000-0900-000037000000}" name="COSTO UNITARIO AÑO 2 3" dataDxfId="233">
      <calculatedColumnFormula>$C$128*(1+BASES!$E$14)</calculatedColumnFormula>
    </tableColumn>
    <tableColumn id="56" xr3:uid="{00000000-0010-0000-0900-000038000000}" name="COSTO UNITARIO AÑO 3 3 " dataDxfId="232">
      <calculatedColumnFormula>Tabla12[[#This Row],[COSTO UNITARIO AÑO 2 3]]*(1+BASES!$F$14)</calculatedColumnFormula>
    </tableColumn>
    <tableColumn id="57" xr3:uid="{00000000-0010-0000-0900-000039000000}" name="COSTO UNITARIO AÑO 4 3" dataDxfId="231">
      <calculatedColumnFormula>Tabla12[[#This Row],[COSTO UNITARIO AÑO 3 3 ]]*(1+BASES!$G$14)</calculatedColumnFormula>
    </tableColumn>
    <tableColumn id="58" xr3:uid="{00000000-0010-0000-0900-00003A000000}" name="COSTO UNITARIO AÑO 5 3 " dataDxfId="230">
      <calculatedColumnFormula>Tabla12[[#This Row],[COSTO UNITARIO AÑO 4 3]]*(1+BASES!$H$14)</calculatedColumnFormula>
    </tableColumn>
    <tableColumn id="59" xr3:uid="{00000000-0010-0000-0900-00003B000000}" name="AÑO 1 3" dataDxfId="229">
      <calculatedColumnFormula>Tabla12[[#This Row],[COSTO POR UNIDAD DE PRODUCTO (3)]]*$C$128*VLOOKUP(Tabla12[[#This Row],[CÓDIGO DEL PRODUCTO Y/O SERVICIO ]],Tabla3[],3,0)</calculatedColumnFormula>
    </tableColumn>
    <tableColumn id="60" xr3:uid="{00000000-0010-0000-0900-00003C000000}" name="AÑO 2 3" dataDxfId="228">
      <calculatedColumnFormula>Tabla12[[#This Row],[COSTO POR UNIDAD DE PRODUCTO (3)]]*Tabla12[[#This Row],[COSTO UNITARIO AÑO 2 3]]*VLOOKUP(Tabla12[[#This Row],[CÓDIGO DEL PRODUCTO Y/O SERVICIO ]],Tabla3[],6,0)</calculatedColumnFormula>
    </tableColumn>
    <tableColumn id="61" xr3:uid="{00000000-0010-0000-0900-00003D000000}" name="AÑO 3 3 " dataDxfId="227">
      <calculatedColumnFormula>Tabla12[[#This Row],[COSTO POR UNIDAD DE PRODUCTO (3)]]*Tabla12[[#This Row],[COSTO UNITARIO AÑO 3 3 ]]*VLOOKUP(Tabla12[[#This Row],[CÓDIGO DEL PRODUCTO Y/O SERVICIO ]],Tabla3[],10,0)</calculatedColumnFormula>
    </tableColumn>
    <tableColumn id="62" xr3:uid="{00000000-0010-0000-0900-00003E000000}" name="AÑO 4 3 " dataDxfId="226">
      <calculatedColumnFormula>Tabla12[[#This Row],[COSTO POR UNIDAD DE PRODUCTO (3)]]*Tabla12[[#This Row],[COSTO UNITARIO AÑO 4 3]]*VLOOKUP(Tabla12[[#This Row],[CÓDIGO DEL PRODUCTO Y/O SERVICIO ]],Tabla3[],14,0)</calculatedColumnFormula>
    </tableColumn>
    <tableColumn id="63" xr3:uid="{00000000-0010-0000-0900-00003F000000}" name="AÑO 5 3 " dataDxfId="225">
      <calculatedColumnFormula>Tabla12[[#This Row],[COSTO POR UNIDAD DE PRODUCTO (3)]]*Tabla12[[#This Row],[COSTO UNITARIO AÑO 5 3 ]]*VLOOKUP(Tabla12[[#This Row],[CÓDIGO DEL PRODUCTO Y/O SERVICIO ]],Tabla3[],18,0)</calculatedColumnFormula>
    </tableColumn>
    <tableColumn id="64" xr3:uid="{00000000-0010-0000-0900-000040000000}" name="UNIDADES PRODUCIDAS AÑO 1 4" dataDxfId="224">
      <calculatedColumnFormula>VLOOKUP(Tabla12[[#This Row],[CÓDIGO DEL PRODUCTO Y/O SERVICIO ]],Tabla3[],3,0)</calculatedColumnFormula>
    </tableColumn>
    <tableColumn id="65" xr3:uid="{00000000-0010-0000-0900-000041000000}" name="CANTIDADES A UTILIZAR EN EL AÑO 1 4" dataDxfId="223">
      <calculatedColumnFormula>Tabla12[[#This Row],[UNIDADES PRODUCIDAS AÑO 1 4]]*I143</calculatedColumnFormula>
    </tableColumn>
    <tableColumn id="66" xr3:uid="{00000000-0010-0000-0900-000042000000}" name="CAMBIO PORCENTUAL EN UNIDADES VENDIDAS AÑO 2 4" dataDxfId="222">
      <calculatedColumnFormula>VLOOKUP(Tabla12[[#This Row],[CÓDIGO DEL PRODUCTO Y/O SERVICIO ]],Tabla3[],9,0)</calculatedColumnFormula>
    </tableColumn>
    <tableColumn id="67" xr3:uid="{00000000-0010-0000-0900-000043000000}" name="CANTIDADES A UTILIZAR EN EL AÑO 2 4" dataDxfId="221">
      <calculatedColumnFormula>Tabla12[[#This Row],[CANTIDADES A UTILIZAR EN EL AÑO 1 4]]*(1+Tabla12[[#This Row],[CAMBIO PORCENTUAL EN UNIDADES VENDIDAS AÑO 2 4]])</calculatedColumnFormula>
    </tableColumn>
    <tableColumn id="68" xr3:uid="{00000000-0010-0000-0900-000044000000}" name="CAMBIO PORCENTUAL EN UNIDADES VENDIDAS AÑO 3 4" dataDxfId="220">
      <calculatedColumnFormula>VLOOKUP(Tabla12[[#This Row],[CÓDIGO DEL PRODUCTO Y/O SERVICIO ]],Tabla3[],13,0)</calculatedColumnFormula>
    </tableColumn>
    <tableColumn id="69" xr3:uid="{00000000-0010-0000-0900-000045000000}" name="CANTIDADES A UTILIZAR EN EL AÑO 3 4 " dataDxfId="219">
      <calculatedColumnFormula>Tabla12[[#This Row],[CANTIDADES A UTILIZAR EN EL AÑO 2 4]]*(1+Tabla12[[#This Row],[CAMBIO PORCENTUAL EN UNIDADES VENDIDAS AÑO 3 4]])</calculatedColumnFormula>
    </tableColumn>
    <tableColumn id="70" xr3:uid="{00000000-0010-0000-0900-000046000000}" name="CAMBIO PORCENTUAL EN UNIDADES VENDIDAS AÑO 4 4 " dataDxfId="218">
      <calculatedColumnFormula>VLOOKUP(Tabla12[[#This Row],[CÓDIGO DEL PRODUCTO Y/O SERVICIO ]],Tabla3[],17,0)</calculatedColumnFormula>
    </tableColumn>
    <tableColumn id="71" xr3:uid="{00000000-0010-0000-0900-000047000000}" name="CANTIDADES A UTILIZAR EN EL AÑO 4 4 " dataDxfId="217">
      <calculatedColumnFormula>Tabla12[[#This Row],[CANTIDADES A UTILIZAR EN EL AÑO 3 4 ]]*(1+Tabla12[[#This Row],[CAMBIO PORCENTUAL EN UNIDADES VENDIDAS AÑO 4 4 ]])</calculatedColumnFormula>
    </tableColumn>
    <tableColumn id="72" xr3:uid="{00000000-0010-0000-0900-000048000000}" name="CAMBIO PORCENTUAL EN UNIDADES VENDIDAS AÑO 5 4 " dataDxfId="216">
      <calculatedColumnFormula>VLOOKUP(Tabla12[[#This Row],[CÓDIGO DEL PRODUCTO Y/O SERVICIO ]],Tabla3[],21,0)</calculatedColumnFormula>
    </tableColumn>
    <tableColumn id="73" xr3:uid="{00000000-0010-0000-0900-000049000000}" name="CANTIDADES A UTILIZAR AÑO 5 4" dataDxfId="215">
      <calculatedColumnFormula>Tabla12[[#This Row],[CANTIDADES A UTILIZAR EN EL AÑO 4 4 ]]*(1+Tabla12[[#This Row],[CAMBIO PORCENTUAL EN UNIDADES VENDIDAS AÑO 5 4 ]])</calculatedColumnFormula>
    </tableColumn>
    <tableColumn id="74" xr3:uid="{00000000-0010-0000-0900-00004A000000}" name="COSTO POR UNIDAD DE PRODUCTO (4)" dataDxfId="214">
      <calculatedColumnFormula>IF(Tabla12[[#This Row],[CANTIDADES A UTILIZAR EN EL AÑO 1 4]]=0,0,Tabla12[[#This Row],[CANTIDADES A UTILIZAR EN EL AÑO 1 4]]*1/Tabla12[[#This Row],[UNIDADES PRODUCIDAS AÑO 1 4]])</calculatedColumnFormula>
    </tableColumn>
    <tableColumn id="75" xr3:uid="{00000000-0010-0000-0900-00004B000000}" name="COSTO UNITARIO AÑO 2 4 " dataDxfId="213">
      <calculatedColumnFormula>$C$129*(1+BASES!$E$14)</calculatedColumnFormula>
    </tableColumn>
    <tableColumn id="76" xr3:uid="{00000000-0010-0000-0900-00004C000000}" name="COSTO UNITARIO AÑO 3 4 " dataDxfId="212">
      <calculatedColumnFormula>Tabla12[[#This Row],[COSTO UNITARIO AÑO 2 4 ]]*(1+BASES!$F$14)</calculatedColumnFormula>
    </tableColumn>
    <tableColumn id="77" xr3:uid="{00000000-0010-0000-0900-00004D000000}" name="COSTO UNITARIO AÑO 4 4 " dataDxfId="211">
      <calculatedColumnFormula>Tabla12[[#This Row],[COSTO UNITARIO AÑO 3 4 ]]*(1+BASES!$G$14)</calculatedColumnFormula>
    </tableColumn>
    <tableColumn id="78" xr3:uid="{00000000-0010-0000-0900-00004E000000}" name="COSTO UNITARIO AÑO 5 4 " dataDxfId="210">
      <calculatedColumnFormula>Tabla12[[#This Row],[COSTO UNITARIO AÑO 4 4 ]]*(1+BASES!$H$14)</calculatedColumnFormula>
    </tableColumn>
    <tableColumn id="79" xr3:uid="{00000000-0010-0000-0900-00004F000000}" name="AÑO 1 4 " dataDxfId="209">
      <calculatedColumnFormula>Tabla12[[#This Row],[COSTO POR UNIDAD DE PRODUCTO (4)]]*$C$129*VLOOKUP(Tabla12[[#This Row],[CÓDIGO DEL PRODUCTO Y/O SERVICIO ]],Tabla3[],3,0)</calculatedColumnFormula>
    </tableColumn>
    <tableColumn id="80" xr3:uid="{00000000-0010-0000-0900-000050000000}" name="AÑO 2 4 " dataDxfId="208">
      <calculatedColumnFormula>Tabla12[[#This Row],[COSTO POR UNIDAD DE PRODUCTO (4)]]*Tabla12[[#This Row],[COSTO UNITARIO AÑO 2 4 ]]*VLOOKUP(Tabla12[[#This Row],[CÓDIGO DEL PRODUCTO Y/O SERVICIO ]],Tabla3[],6,0)</calculatedColumnFormula>
    </tableColumn>
    <tableColumn id="81" xr3:uid="{00000000-0010-0000-0900-000051000000}" name="AÑO 3 4 " dataDxfId="207">
      <calculatedColumnFormula>Tabla12[[#This Row],[COSTO POR UNIDAD DE PRODUCTO (4)]]*Tabla12[[#This Row],[COSTO UNITARIO AÑO 3 4 ]]*VLOOKUP(Tabla12[[#This Row],[CÓDIGO DEL PRODUCTO Y/O SERVICIO ]],Tabla3[],10,0)</calculatedColumnFormula>
    </tableColumn>
    <tableColumn id="82" xr3:uid="{00000000-0010-0000-0900-000052000000}" name="AÑO 4 4 " dataDxfId="206">
      <calculatedColumnFormula>Tabla12[[#This Row],[COSTO POR UNIDAD DE PRODUCTO (4)]]*Tabla12[[#This Row],[COSTO UNITARIO AÑO 4 4 ]]*VLOOKUP(Tabla12[[#This Row],[CÓDIGO DEL PRODUCTO Y/O SERVICIO ]],Tabla3[],14,0)</calculatedColumnFormula>
    </tableColumn>
    <tableColumn id="83" xr3:uid="{00000000-0010-0000-0900-000053000000}" name="AÑO 5 4 " dataDxfId="205">
      <calculatedColumnFormula>Tabla12[[#This Row],[COSTO POR UNIDAD DE PRODUCTO (4)]]*Tabla12[[#This Row],[COSTO UNITARIO AÑO 5 4 ]]*VLOOKUP(Tabla12[[#This Row],[CÓDIGO DEL PRODUCTO Y/O SERVICIO ]],Tabla3[],18,0)</calculatedColumnFormula>
    </tableColumn>
    <tableColumn id="84" xr3:uid="{00000000-0010-0000-0900-000054000000}" name="UNIDADES PRODUCIDAS AÑO 1 5" dataDxfId="204">
      <calculatedColumnFormula>VLOOKUP(Tabla12[[#This Row],[CÓDIGO DEL PRODUCTO Y/O SERVICIO ]],Tabla3[],3,0)</calculatedColumnFormula>
    </tableColumn>
    <tableColumn id="85" xr3:uid="{00000000-0010-0000-0900-000055000000}" name="CANTIDADES A UTILIZAR EN EL AÑO 1 5" dataDxfId="203">
      <calculatedColumnFormula>Tabla12[[#This Row],[UNIDADES PRODUCIDAS AÑO 1 5]]*J143</calculatedColumnFormula>
    </tableColumn>
    <tableColumn id="86" xr3:uid="{00000000-0010-0000-0900-000056000000}" name="CAMBIO PORCENTUAL EN UNIDADES VENDIDAS AÑO 2 5 " dataDxfId="202">
      <calculatedColumnFormula>VLOOKUP(Tabla12[[#This Row],[CÓDIGO DEL PRODUCTO Y/O SERVICIO ]],Tabla3[],9,0)</calculatedColumnFormula>
    </tableColumn>
    <tableColumn id="87" xr3:uid="{00000000-0010-0000-0900-000057000000}" name="CANTIDADES A UTILIZAR EN EL AÑO 2 5" dataDxfId="201">
      <calculatedColumnFormula>Tabla12[[#This Row],[CANTIDADES A UTILIZAR EN EL AÑO 1 5]]*(1+Tabla12[[#This Row],[CAMBIO PORCENTUAL EN UNIDADES VENDIDAS AÑO 2 5 ]])</calculatedColumnFormula>
    </tableColumn>
    <tableColumn id="88" xr3:uid="{00000000-0010-0000-0900-000058000000}" name="CAMBIO PORCENTUAL EN UNIDADES VENDIDAS AÑO 3 5 " dataDxfId="200">
      <calculatedColumnFormula>VLOOKUP(Tabla12[[#This Row],[CÓDIGO DEL PRODUCTO Y/O SERVICIO ]],Tabla3[],13,0)</calculatedColumnFormula>
    </tableColumn>
    <tableColumn id="89" xr3:uid="{00000000-0010-0000-0900-000059000000}" name="CANTIDADES A UTILIZAR EN EL AÑO 3 5 " dataDxfId="199">
      <calculatedColumnFormula>Tabla12[[#This Row],[CANTIDADES A UTILIZAR EN EL AÑO 2 5]]*(1+Tabla12[[#This Row],[CAMBIO PORCENTUAL EN UNIDADES VENDIDAS AÑO 3 5 ]])</calculatedColumnFormula>
    </tableColumn>
    <tableColumn id="90" xr3:uid="{00000000-0010-0000-0900-00005A000000}" name="CAMBIO PORCENTUAL EN UNIDADES VENDIDAS AÑO 4 5 " dataDxfId="198">
      <calculatedColumnFormula>VLOOKUP(Tabla12[[#This Row],[CÓDIGO DEL PRODUCTO Y/O SERVICIO ]],Tabla3[],17,0)</calculatedColumnFormula>
    </tableColumn>
    <tableColumn id="91" xr3:uid="{00000000-0010-0000-0900-00005B000000}" name="CANTIDADES A UTILIZAR EN EL AÑO 4 5 " dataDxfId="197">
      <calculatedColumnFormula>Tabla12[[#This Row],[CANTIDADES A UTILIZAR EN EL AÑO 3 5 ]]*(1+Tabla12[[#This Row],[CAMBIO PORCENTUAL EN UNIDADES VENDIDAS AÑO 4 5 ]])</calculatedColumnFormula>
    </tableColumn>
    <tableColumn id="92" xr3:uid="{00000000-0010-0000-0900-00005C000000}" name="CAMBIO PORCENTUAL EN UNIDADES VENDIDAS AÑO 5 5" dataDxfId="196">
      <calculatedColumnFormula>VLOOKUP(Tabla12[[#This Row],[CÓDIGO DEL PRODUCTO Y/O SERVICIO ]],Tabla3[],21,0)</calculatedColumnFormula>
    </tableColumn>
    <tableColumn id="93" xr3:uid="{00000000-0010-0000-0900-00005D000000}" name="CANTIDADES A UTILIZAR AÑO 5 5 " dataDxfId="195">
      <calculatedColumnFormula>Tabla12[[#This Row],[CANTIDADES A UTILIZAR EN EL AÑO 4 5 ]]*(1+Tabla12[[#This Row],[CAMBIO PORCENTUAL EN UNIDADES VENDIDAS AÑO 5 5]])</calculatedColumnFormula>
    </tableColumn>
    <tableColumn id="94" xr3:uid="{00000000-0010-0000-0900-00005E000000}" name="COSTO POR UNIDAD DE PRODUCTO (5)" dataDxfId="194">
      <calculatedColumnFormula>IF(Tabla12[[#This Row],[CANTIDADES A UTILIZAR EN EL AÑO 1 5]]=0,0,Tabla12[[#This Row],[CANTIDADES A UTILIZAR EN EL AÑO 1 5]]*1/Tabla12[[#This Row],[UNIDADES PRODUCIDAS AÑO 1 5]])</calculatedColumnFormula>
    </tableColumn>
    <tableColumn id="95" xr3:uid="{00000000-0010-0000-0900-00005F000000}" name="COSTO UNITARIO AÑO 2 5" dataDxfId="193">
      <calculatedColumnFormula>$C$130*(1+BASES!$E$14)</calculatedColumnFormula>
    </tableColumn>
    <tableColumn id="96" xr3:uid="{00000000-0010-0000-0900-000060000000}" name="COSTO UNITARIO AÑO 3 5" dataDxfId="192">
      <calculatedColumnFormula>Tabla12[[#This Row],[COSTO UNITARIO AÑO 2 5]]*(1+BASES!$F$14)</calculatedColumnFormula>
    </tableColumn>
    <tableColumn id="97" xr3:uid="{00000000-0010-0000-0900-000061000000}" name="COSTO UNITARIO AÑO 4 5" dataDxfId="191">
      <calculatedColumnFormula>Tabla12[[#This Row],[COSTO UNITARIO AÑO 3 5]]*(1+BASES!$G$14)</calculatedColumnFormula>
    </tableColumn>
    <tableColumn id="98" xr3:uid="{00000000-0010-0000-0900-000062000000}" name="COSTO UNITARIO AÑO 5 5 " dataDxfId="190">
      <calculatedColumnFormula>Tabla12[[#This Row],[COSTO UNITARIO AÑO 4 5]]*(1+BASES!$H$14)</calculatedColumnFormula>
    </tableColumn>
    <tableColumn id="99" xr3:uid="{00000000-0010-0000-0900-000063000000}" name="AÑO 1 5" dataDxfId="189">
      <calculatedColumnFormula>Tabla12[[#This Row],[COSTO POR UNIDAD DE PRODUCTO (5)]]*$C$130*VLOOKUP(Tabla12[[#This Row],[CÓDIGO DEL PRODUCTO Y/O SERVICIO ]],Tabla3[],3,0)</calculatedColumnFormula>
    </tableColumn>
    <tableColumn id="100" xr3:uid="{00000000-0010-0000-0900-000064000000}" name="AÑO 2 5" dataDxfId="188">
      <calculatedColumnFormula>Tabla12[[#This Row],[COSTO POR UNIDAD DE PRODUCTO (5)]]*Tabla12[[#This Row],[COSTO UNITARIO AÑO 2 5]]*VLOOKUP(Tabla12[[#This Row],[CÓDIGO DEL PRODUCTO Y/O SERVICIO ]],Tabla3[],6,0)</calculatedColumnFormula>
    </tableColumn>
    <tableColumn id="101" xr3:uid="{00000000-0010-0000-0900-000065000000}" name="AÑO 3 5" dataDxfId="187">
      <calculatedColumnFormula>Tabla12[[#This Row],[COSTO POR UNIDAD DE PRODUCTO (5)]]*Tabla12[[#This Row],[COSTO UNITARIO AÑO 3 5]]*VLOOKUP(Tabla12[[#This Row],[CÓDIGO DEL PRODUCTO Y/O SERVICIO ]],Tabla3[],10,0)</calculatedColumnFormula>
    </tableColumn>
    <tableColumn id="102" xr3:uid="{00000000-0010-0000-0900-000066000000}" name="AÑO 4 5" dataDxfId="186">
      <calculatedColumnFormula>Tabla12[[#This Row],[COSTO POR UNIDAD DE PRODUCTO (5)]]*Tabla12[[#This Row],[COSTO UNITARIO AÑO 4 5]]*VLOOKUP(Tabla12[[#This Row],[CÓDIGO DEL PRODUCTO Y/O SERVICIO ]],Tabla3[],14,0)</calculatedColumnFormula>
    </tableColumn>
    <tableColumn id="103" xr3:uid="{00000000-0010-0000-0900-000067000000}" name="AÑO 5 5" dataDxfId="185">
      <calculatedColumnFormula>Tabla12[[#This Row],[COSTO POR UNIDAD DE PRODUCTO (5)]]*Tabla12[[#This Row],[COSTO UNITARIO AÑO 5 5 ]]*VLOOKUP(Tabla12[[#This Row],[CÓDIGO DEL PRODUCTO Y/O SERVICIO ]],Tabla3[],18,0)</calculatedColumnFormula>
    </tableColumn>
    <tableColumn id="104" xr3:uid="{00000000-0010-0000-0900-000068000000}" name="UNIDADES PRODUCIDAS AÑO 1 6" dataDxfId="184">
      <calculatedColumnFormula>VLOOKUP(Tabla12[[#This Row],[CÓDIGO DEL PRODUCTO Y/O SERVICIO ]],Tabla3[],3,0)</calculatedColumnFormula>
    </tableColumn>
    <tableColumn id="105" xr3:uid="{00000000-0010-0000-0900-000069000000}" name="CANTIDADES A UTILIZAR EN EL AÑO 1 6" dataDxfId="183">
      <calculatedColumnFormula>Tabla12[[#This Row],[UNIDADES PRODUCIDAS AÑO 1 6]]*K143</calculatedColumnFormula>
    </tableColumn>
    <tableColumn id="106" xr3:uid="{00000000-0010-0000-0900-00006A000000}" name="CAMBIO PORCENTUAL EN UNIDADES VENDIDAS AÑO 2 6" dataDxfId="182">
      <calculatedColumnFormula>VLOOKUP(Tabla12[[#This Row],[CÓDIGO DEL PRODUCTO Y/O SERVICIO ]],Tabla3[],9,0)</calculatedColumnFormula>
    </tableColumn>
    <tableColumn id="107" xr3:uid="{00000000-0010-0000-0900-00006B000000}" name="CANTIDADES A UTILIZAR EN EL AÑO 2 6" dataDxfId="181">
      <calculatedColumnFormula>Tabla12[[#This Row],[CANTIDADES A UTILIZAR EN EL AÑO 1 6]]*(1+Tabla12[[#This Row],[CAMBIO PORCENTUAL EN UNIDADES VENDIDAS AÑO 2 6]])</calculatedColumnFormula>
    </tableColumn>
    <tableColumn id="108" xr3:uid="{00000000-0010-0000-0900-00006C000000}" name="CAMBIO PORCENTUAL EN UNIDADES VENDIDAS AÑO 3 6" dataDxfId="180">
      <calculatedColumnFormula>VLOOKUP(Tabla12[[#This Row],[CÓDIGO DEL PRODUCTO Y/O SERVICIO ]],Tabla3[],13,0)</calculatedColumnFormula>
    </tableColumn>
    <tableColumn id="109" xr3:uid="{00000000-0010-0000-0900-00006D000000}" name="CANTIDADES A UTILIZAR EN EL AÑO 3 6" dataDxfId="179">
      <calculatedColumnFormula>Tabla12[[#This Row],[CANTIDADES A UTILIZAR EN EL AÑO 2 6]]*(1+Tabla12[[#This Row],[CAMBIO PORCENTUAL EN UNIDADES VENDIDAS AÑO 3 6]])</calculatedColumnFormula>
    </tableColumn>
    <tableColumn id="110" xr3:uid="{00000000-0010-0000-0900-00006E000000}" name="CAMBIO PORCENTUAL EN UNIDADES VENDIDAS AÑO 4 6" dataDxfId="178">
      <calculatedColumnFormula>VLOOKUP(Tabla12[[#This Row],[CÓDIGO DEL PRODUCTO Y/O SERVICIO ]],Tabla3[],17,0)</calculatedColumnFormula>
    </tableColumn>
    <tableColumn id="111" xr3:uid="{00000000-0010-0000-0900-00006F000000}" name="CANTIDADES A UTILIZAR EN EL AÑO 4 6" dataDxfId="177">
      <calculatedColumnFormula>Tabla12[[#This Row],[CANTIDADES A UTILIZAR EN EL AÑO 3 6]]*(1+Tabla12[[#This Row],[CAMBIO PORCENTUAL EN UNIDADES VENDIDAS AÑO 4 6]])</calculatedColumnFormula>
    </tableColumn>
    <tableColumn id="112" xr3:uid="{00000000-0010-0000-0900-000070000000}" name="CAMBIO PORCENTUAL EN UNIDADES VENDIDAS AÑO 5 6" dataDxfId="176">
      <calculatedColumnFormula>VLOOKUP(Tabla12[[#This Row],[CÓDIGO DEL PRODUCTO Y/O SERVICIO ]],Tabla3[],21,0)</calculatedColumnFormula>
    </tableColumn>
    <tableColumn id="113" xr3:uid="{00000000-0010-0000-0900-000071000000}" name="CANTIDADES A UTILIZAR AÑO 5 6" dataDxfId="175">
      <calculatedColumnFormula>Tabla12[[#This Row],[CANTIDADES A UTILIZAR EN EL AÑO 4 6]]*(1+Tabla12[[#This Row],[CAMBIO PORCENTUAL EN UNIDADES VENDIDAS AÑO 5 6]])</calculatedColumnFormula>
    </tableColumn>
    <tableColumn id="114" xr3:uid="{00000000-0010-0000-0900-000072000000}" name="COSTO POR UNIDAD DE PRODUCTO (6)" dataDxfId="174">
      <calculatedColumnFormula>IF(Tabla12[[#This Row],[CANTIDADES A UTILIZAR EN EL AÑO 1 6]]=0,0,Tabla12[[#This Row],[CANTIDADES A UTILIZAR EN EL AÑO 1 6]]*1/Tabla12[[#This Row],[UNIDADES PRODUCIDAS AÑO 1 6]])</calculatedColumnFormula>
    </tableColumn>
    <tableColumn id="115" xr3:uid="{00000000-0010-0000-0900-000073000000}" name="COSTO UNITARIO AÑO 2 6" dataDxfId="173">
      <calculatedColumnFormula>$C$131*(1+BASES!$E$14)</calculatedColumnFormula>
    </tableColumn>
    <tableColumn id="116" xr3:uid="{00000000-0010-0000-0900-000074000000}" name="COSTO UNITARIO AÑO 3 6" dataDxfId="172">
      <calculatedColumnFormula>Tabla12[[#This Row],[COSTO UNITARIO AÑO 2 6]]*(1+BASES!$F$14)</calculatedColumnFormula>
    </tableColumn>
    <tableColumn id="117" xr3:uid="{00000000-0010-0000-0900-000075000000}" name="COSTO UNITARIO AÑO 4 6" dataDxfId="171">
      <calculatedColumnFormula>Tabla12[[#This Row],[COSTO UNITARIO AÑO 3 6]]*(1+BASES!$G$14)</calculatedColumnFormula>
    </tableColumn>
    <tableColumn id="118" xr3:uid="{00000000-0010-0000-0900-000076000000}" name="COSTO UNITARIO AÑO 5 6" dataDxfId="170">
      <calculatedColumnFormula>Tabla12[[#This Row],[COSTO UNITARIO AÑO 4 6]]*(1+BASES!$H$14)</calculatedColumnFormula>
    </tableColumn>
    <tableColumn id="119" xr3:uid="{00000000-0010-0000-0900-000077000000}" name="AÑO 1 6" dataDxfId="169">
      <calculatedColumnFormula>Tabla12[[#This Row],[COSTO POR UNIDAD DE PRODUCTO (6)]]*$C$131*VLOOKUP(Tabla12[[#This Row],[CÓDIGO DEL PRODUCTO Y/O SERVICIO ]],Tabla3[],3,0)</calculatedColumnFormula>
    </tableColumn>
    <tableColumn id="120" xr3:uid="{00000000-0010-0000-0900-000078000000}" name="AÑO 2 6" dataDxfId="168">
      <calculatedColumnFormula>Tabla12[[#This Row],[COSTO POR UNIDAD DE PRODUCTO (6)]]*Tabla12[[#This Row],[COSTO UNITARIO AÑO 2 6]]*VLOOKUP(Tabla12[[#This Row],[CÓDIGO DEL PRODUCTO Y/O SERVICIO ]],Tabla3[],6,0)</calculatedColumnFormula>
    </tableColumn>
    <tableColumn id="121" xr3:uid="{00000000-0010-0000-0900-000079000000}" name="AÑO 3 6" dataDxfId="167">
      <calculatedColumnFormula>Tabla12[[#This Row],[COSTO POR UNIDAD DE PRODUCTO (6)]]*Tabla12[[#This Row],[COSTO UNITARIO AÑO 3 6]]*VLOOKUP(Tabla12[[#This Row],[CÓDIGO DEL PRODUCTO Y/O SERVICIO ]],Tabla3[],10,0)</calculatedColumnFormula>
    </tableColumn>
    <tableColumn id="122" xr3:uid="{00000000-0010-0000-0900-00007A000000}" name="AÑO 4 6" dataDxfId="166">
      <calculatedColumnFormula>Tabla12[[#This Row],[COSTO POR UNIDAD DE PRODUCTO (6)]]*Tabla12[[#This Row],[COSTO UNITARIO AÑO 4 6]]*VLOOKUP(Tabla12[[#This Row],[CÓDIGO DEL PRODUCTO Y/O SERVICIO ]],Tabla3[],14,0)</calculatedColumnFormula>
    </tableColumn>
    <tableColumn id="123" xr3:uid="{00000000-0010-0000-0900-00007B000000}" name="AÑO 5 6" dataDxfId="165">
      <calculatedColumnFormula>Tabla12[[#This Row],[COSTO POR UNIDAD DE PRODUCTO (6)]]*Tabla12[[#This Row],[COSTO UNITARIO AÑO 5 6]]*VLOOKUP(Tabla12[[#This Row],[CÓDIGO DEL PRODUCTO Y/O SERVICIO ]],Tabla3[],18,0)</calculatedColumnFormula>
    </tableColumn>
    <tableColumn id="124" xr3:uid="{00000000-0010-0000-0900-00007C000000}" name="UNIDADES PRODUCIDAS AÑO 1 7" dataDxfId="164">
      <calculatedColumnFormula>VLOOKUP(Tabla12[[#This Row],[CÓDIGO DEL PRODUCTO Y/O SERVICIO ]],Tabla3[],3,0)</calculatedColumnFormula>
    </tableColumn>
    <tableColumn id="125" xr3:uid="{00000000-0010-0000-0900-00007D000000}" name="CANTIDADES A UTILIZAR EN EL AÑO 1 7" dataDxfId="163">
      <calculatedColumnFormula>Tabla12[[#This Row],[UNIDADES PRODUCIDAS AÑO 1 7]]*L143</calculatedColumnFormula>
    </tableColumn>
    <tableColumn id="126" xr3:uid="{00000000-0010-0000-0900-00007E000000}" name="CAMBIO PORCENTUAL EN UNIDADES VENDIDAS AÑO 2 7" dataDxfId="162">
      <calculatedColumnFormula>VLOOKUP(Tabla12[[#This Row],[CÓDIGO DEL PRODUCTO Y/O SERVICIO ]],Tabla3[],9,0)</calculatedColumnFormula>
    </tableColumn>
    <tableColumn id="127" xr3:uid="{00000000-0010-0000-0900-00007F000000}" name="CANTIDADES A UTILIZAR EN EL AÑO 2 7" dataDxfId="161">
      <calculatedColumnFormula>Tabla12[[#This Row],[CANTIDADES A UTILIZAR EN EL AÑO 1 7]]*(1+Tabla12[[#This Row],[CAMBIO PORCENTUAL EN UNIDADES VENDIDAS AÑO 2 7]])</calculatedColumnFormula>
    </tableColumn>
    <tableColumn id="128" xr3:uid="{00000000-0010-0000-0900-000080000000}" name="CAMBIO PORCENTUAL EN UNIDADES VENDIDAS AÑO 3 7" dataDxfId="160">
      <calculatedColumnFormula>VLOOKUP(Tabla12[[#This Row],[CÓDIGO DEL PRODUCTO Y/O SERVICIO ]],Tabla3[],13,0)</calculatedColumnFormula>
    </tableColumn>
    <tableColumn id="129" xr3:uid="{00000000-0010-0000-0900-000081000000}" name="CANTIDADES A UTILIZAR EN EL AÑO 3 7" dataDxfId="159">
      <calculatedColumnFormula>Tabla12[[#This Row],[CANTIDADES A UTILIZAR EN EL AÑO 2 7]]*(1+Tabla12[[#This Row],[CAMBIO PORCENTUAL EN UNIDADES VENDIDAS AÑO 3 7]])</calculatedColumnFormula>
    </tableColumn>
    <tableColumn id="130" xr3:uid="{00000000-0010-0000-0900-000082000000}" name="CAMBIO PORCENTUAL EN UNIDADES VENDIDAS AÑO 4 7" dataDxfId="158">
      <calculatedColumnFormula>VLOOKUP(Tabla12[[#This Row],[CÓDIGO DEL PRODUCTO Y/O SERVICIO ]],Tabla3[],17,0)</calculatedColumnFormula>
    </tableColumn>
    <tableColumn id="131" xr3:uid="{00000000-0010-0000-0900-000083000000}" name="CANTIDADES A UTILIZAR EN EL AÑO 4 7" dataDxfId="157">
      <calculatedColumnFormula>Tabla12[[#This Row],[CANTIDADES A UTILIZAR EN EL AÑO 3 7]]*(1+Tabla12[[#This Row],[CAMBIO PORCENTUAL EN UNIDADES VENDIDAS AÑO 4 7]])</calculatedColumnFormula>
    </tableColumn>
    <tableColumn id="132" xr3:uid="{00000000-0010-0000-0900-000084000000}" name="CAMBIO PORCENTUAL EN UNIDADES VENDIDAS AÑO 5 7" dataDxfId="156">
      <calculatedColumnFormula>VLOOKUP(Tabla12[[#This Row],[CÓDIGO DEL PRODUCTO Y/O SERVICIO ]],Tabla3[],21,0)</calculatedColumnFormula>
    </tableColumn>
    <tableColumn id="133" xr3:uid="{00000000-0010-0000-0900-000085000000}" name="CANTIDADES A UTILIZAR AÑO 5 7" dataDxfId="155">
      <calculatedColumnFormula>Tabla12[[#This Row],[CANTIDADES A UTILIZAR EN EL AÑO 4 7]]*(1+Tabla12[[#This Row],[CAMBIO PORCENTUAL EN UNIDADES VENDIDAS AÑO 5 7]])</calculatedColumnFormula>
    </tableColumn>
    <tableColumn id="134" xr3:uid="{00000000-0010-0000-0900-000086000000}" name="COSTO POR UNIDAD DE PRODUCTO (7)" dataDxfId="154">
      <calculatedColumnFormula>IF(Tabla12[[#This Row],[CANTIDADES A UTILIZAR EN EL AÑO 1 7]]=0,0,Tabla12[[#This Row],[CANTIDADES A UTILIZAR EN EL AÑO 1 7]]*1/Tabla12[[#This Row],[UNIDADES PRODUCIDAS AÑO 1 7]])</calculatedColumnFormula>
    </tableColumn>
    <tableColumn id="135" xr3:uid="{00000000-0010-0000-0900-000087000000}" name="COSTO UNITARIO AÑO 2 7" dataDxfId="153">
      <calculatedColumnFormula>$C$132*(1+BASES!$E$14)</calculatedColumnFormula>
    </tableColumn>
    <tableColumn id="136" xr3:uid="{00000000-0010-0000-0900-000088000000}" name="COSTO UNITARIO AÑO 3 7" dataDxfId="152">
      <calculatedColumnFormula>Tabla12[[#This Row],[COSTO UNITARIO AÑO 2 7]]*(1+BASES!$F$14)</calculatedColumnFormula>
    </tableColumn>
    <tableColumn id="137" xr3:uid="{00000000-0010-0000-0900-000089000000}" name="COSTO UNITARIO AÑO 4 7" dataDxfId="151">
      <calculatedColumnFormula>Tabla12[[#This Row],[COSTO UNITARIO AÑO 3 7]]*(1+BASES!$G$14)</calculatedColumnFormula>
    </tableColumn>
    <tableColumn id="138" xr3:uid="{00000000-0010-0000-0900-00008A000000}" name="COSTO UNITARIO AÑO 5 7" dataDxfId="150">
      <calculatedColumnFormula>Tabla12[[#This Row],[COSTO UNITARIO AÑO 4 7]]*(1+BASES!$H$14)</calculatedColumnFormula>
    </tableColumn>
    <tableColumn id="139" xr3:uid="{00000000-0010-0000-0900-00008B000000}" name="AÑO 1 7" dataDxfId="149">
      <calculatedColumnFormula>Tabla12[[#This Row],[COSTO POR UNIDAD DE PRODUCTO (7)]]*$C$132*VLOOKUP(Tabla12[[#This Row],[CÓDIGO DEL PRODUCTO Y/O SERVICIO ]],Tabla3[],3,0)</calculatedColumnFormula>
    </tableColumn>
    <tableColumn id="140" xr3:uid="{00000000-0010-0000-0900-00008C000000}" name="AÑO 2 7" dataDxfId="148">
      <calculatedColumnFormula>Tabla12[[#This Row],[COSTO POR UNIDAD DE PRODUCTO (7)]]*Tabla12[[#This Row],[COSTO UNITARIO AÑO 2 7]]*VLOOKUP(Tabla12[[#This Row],[CÓDIGO DEL PRODUCTO Y/O SERVICIO ]],Tabla3[],6,0)</calculatedColumnFormula>
    </tableColumn>
    <tableColumn id="141" xr3:uid="{00000000-0010-0000-0900-00008D000000}" name="AÑO 3 7" dataDxfId="147">
      <calculatedColumnFormula>Tabla12[[#This Row],[COSTO POR UNIDAD DE PRODUCTO (7)]]*Tabla12[[#This Row],[COSTO UNITARIO AÑO 3 7]]*VLOOKUP(Tabla12[[#This Row],[CÓDIGO DEL PRODUCTO Y/O SERVICIO ]],Tabla3[],10,0)</calculatedColumnFormula>
    </tableColumn>
    <tableColumn id="142" xr3:uid="{00000000-0010-0000-0900-00008E000000}" name="AÑO 4 7" dataDxfId="146">
      <calculatedColumnFormula>Tabla12[[#This Row],[COSTO POR UNIDAD DE PRODUCTO (7)]]*Tabla12[[#This Row],[COSTO UNITARIO AÑO 4 7]]*VLOOKUP(Tabla12[[#This Row],[CÓDIGO DEL PRODUCTO Y/O SERVICIO ]],Tabla3[],14,0)</calculatedColumnFormula>
    </tableColumn>
    <tableColumn id="143" xr3:uid="{00000000-0010-0000-0900-00008F000000}" name="AÑO 5 7" dataDxfId="145">
      <calculatedColumnFormula>Tabla12[[#This Row],[COSTO POR UNIDAD DE PRODUCTO (7)]]*Tabla12[[#This Row],[COSTO UNITARIO AÑO 5 7]]*VLOOKUP(Tabla12[[#This Row],[CÓDIGO DEL PRODUCTO Y/O SERVICIO ]],Tabla3[],18,0)</calculatedColumnFormula>
    </tableColumn>
    <tableColumn id="144" xr3:uid="{00000000-0010-0000-0900-000090000000}" name="UNIDADES PRODUCIDAS AÑO 1 8" dataDxfId="144">
      <calculatedColumnFormula>VLOOKUP(Tabla12[[#This Row],[CÓDIGO DEL PRODUCTO Y/O SERVICIO ]],Tabla3[],3,0)</calculatedColumnFormula>
    </tableColumn>
    <tableColumn id="145" xr3:uid="{00000000-0010-0000-0900-000091000000}" name="CANTIDADES A UTILIZAR EN EL AÑO 1 8" dataDxfId="143">
      <calculatedColumnFormula>Tabla12[[#This Row],[UNIDADES PRODUCIDAS AÑO 1 8]]*M143</calculatedColumnFormula>
    </tableColumn>
    <tableColumn id="146" xr3:uid="{00000000-0010-0000-0900-000092000000}" name="CAMBIO PORCENTUAL EN UNIDADES VENDIDAS AÑO 2 8" dataDxfId="142">
      <calculatedColumnFormula>VLOOKUP(Tabla12[[#This Row],[CÓDIGO DEL PRODUCTO Y/O SERVICIO ]],Tabla3[],9,0)</calculatedColumnFormula>
    </tableColumn>
    <tableColumn id="147" xr3:uid="{00000000-0010-0000-0900-000093000000}" name="CANTIDADES A UTILIZAR EN EL AÑO 2 8" dataDxfId="141">
      <calculatedColumnFormula>Tabla12[[#This Row],[CANTIDADES A UTILIZAR EN EL AÑO 1 8]]*(1+Tabla12[[#This Row],[CAMBIO PORCENTUAL EN UNIDADES VENDIDAS AÑO 2 8]])</calculatedColumnFormula>
    </tableColumn>
    <tableColumn id="148" xr3:uid="{00000000-0010-0000-0900-000094000000}" name="CAMBIO PORCENTUAL EN UNIDADES VENDIDAS AÑO 3 8" dataDxfId="140">
      <calculatedColumnFormula>VLOOKUP(Tabla12[[#This Row],[CÓDIGO DEL PRODUCTO Y/O SERVICIO ]],Tabla3[],13,0)</calculatedColumnFormula>
    </tableColumn>
    <tableColumn id="149" xr3:uid="{00000000-0010-0000-0900-000095000000}" name="CANTIDADES A UTILIZAR EN EL AÑO 3 8" dataDxfId="139">
      <calculatedColumnFormula>Tabla12[[#This Row],[CANTIDADES A UTILIZAR EN EL AÑO 2 8]]*(1+Tabla12[[#This Row],[CAMBIO PORCENTUAL EN UNIDADES VENDIDAS AÑO 3 8]])</calculatedColumnFormula>
    </tableColumn>
    <tableColumn id="150" xr3:uid="{00000000-0010-0000-0900-000096000000}" name="CAMBIO PORCENTUAL EN UNIDADES VENDIDAS AÑO 4 8" dataDxfId="138">
      <calculatedColumnFormula>VLOOKUP(Tabla12[[#This Row],[CÓDIGO DEL PRODUCTO Y/O SERVICIO ]],Tabla3[],17,0)</calculatedColumnFormula>
    </tableColumn>
    <tableColumn id="151" xr3:uid="{00000000-0010-0000-0900-000097000000}" name="CANTIDADES A UTILIZAR EN EL AÑO 4 8" dataDxfId="137">
      <calculatedColumnFormula>Tabla12[[#This Row],[CANTIDADES A UTILIZAR EN EL AÑO 3 8]]*(1+Tabla12[[#This Row],[CAMBIO PORCENTUAL EN UNIDADES VENDIDAS AÑO 4 8]])</calculatedColumnFormula>
    </tableColumn>
    <tableColumn id="152" xr3:uid="{00000000-0010-0000-0900-000098000000}" name="CAMBIO PORCENTUAL EN UNIDADES VENDIDAS AÑO 5 8" dataDxfId="136">
      <calculatedColumnFormula>VLOOKUP(Tabla12[[#This Row],[CÓDIGO DEL PRODUCTO Y/O SERVICIO ]],Tabla3[],21,0)</calculatedColumnFormula>
    </tableColumn>
    <tableColumn id="153" xr3:uid="{00000000-0010-0000-0900-000099000000}" name="CANTIDADES A UTILIZAR AÑO 5 8" dataDxfId="135">
      <calculatedColumnFormula>Tabla12[[#This Row],[CANTIDADES A UTILIZAR EN EL AÑO 4 8]]*(1+Tabla12[[#This Row],[CAMBIO PORCENTUAL EN UNIDADES VENDIDAS AÑO 5 8]])</calculatedColumnFormula>
    </tableColumn>
    <tableColumn id="154" xr3:uid="{00000000-0010-0000-0900-00009A000000}" name="COSTO POR UNIDAD DE PRODUCTO (8)" dataDxfId="134">
      <calculatedColumnFormula>IF(Tabla12[[#This Row],[CANTIDADES A UTILIZAR EN EL AÑO 1 8]]=0,0,Tabla12[[#This Row],[CANTIDADES A UTILIZAR EN EL AÑO 1 8]]*1/Tabla12[[#This Row],[UNIDADES PRODUCIDAS AÑO 1 8]])</calculatedColumnFormula>
    </tableColumn>
    <tableColumn id="155" xr3:uid="{00000000-0010-0000-0900-00009B000000}" name="COSTO UNITARIO AÑO 2 8" dataDxfId="133">
      <calculatedColumnFormula>$C$133*(1+BASES!$E$14)</calculatedColumnFormula>
    </tableColumn>
    <tableColumn id="156" xr3:uid="{00000000-0010-0000-0900-00009C000000}" name="COSTO UNITARIO AÑO 3 8" dataDxfId="132">
      <calculatedColumnFormula>Tabla12[[#This Row],[COSTO UNITARIO AÑO 2 8]]*(1+BASES!$F$14)</calculatedColumnFormula>
    </tableColumn>
    <tableColumn id="157" xr3:uid="{00000000-0010-0000-0900-00009D000000}" name="COSTO UNITARIO AÑO 4 8" dataDxfId="131">
      <calculatedColumnFormula>Tabla12[[#This Row],[COSTO UNITARIO AÑO 3 8]]*(1+BASES!$G$14)</calculatedColumnFormula>
    </tableColumn>
    <tableColumn id="158" xr3:uid="{00000000-0010-0000-0900-00009E000000}" name="COSTO UNITARIO AÑO 5 8" dataDxfId="130">
      <calculatedColumnFormula>Tabla12[[#This Row],[COSTO UNITARIO AÑO 4 8]]*(1+BASES!$H$14)</calculatedColumnFormula>
    </tableColumn>
    <tableColumn id="159" xr3:uid="{00000000-0010-0000-0900-00009F000000}" name="AÑO 1 8" dataDxfId="129">
      <calculatedColumnFormula>Tabla12[[#This Row],[COSTO POR UNIDAD DE PRODUCTO (8)]]*$C$133*VLOOKUP(Tabla12[[#This Row],[CÓDIGO DEL PRODUCTO Y/O SERVICIO ]],Tabla3[],3,0)</calculatedColumnFormula>
    </tableColumn>
    <tableColumn id="160" xr3:uid="{00000000-0010-0000-0900-0000A0000000}" name="AÑO 2 8" dataDxfId="128">
      <calculatedColumnFormula>Tabla12[[#This Row],[COSTO POR UNIDAD DE PRODUCTO (8)]]*Tabla12[[#This Row],[COSTO UNITARIO AÑO 2 8]]*VLOOKUP(Tabla12[[#This Row],[CÓDIGO DEL PRODUCTO Y/O SERVICIO ]],Tabla3[],6,0)</calculatedColumnFormula>
    </tableColumn>
    <tableColumn id="161" xr3:uid="{00000000-0010-0000-0900-0000A1000000}" name="AÑO 3 8" dataDxfId="127">
      <calculatedColumnFormula>Tabla12[[#This Row],[COSTO POR UNIDAD DE PRODUCTO (8)]]*Tabla12[[#This Row],[COSTO UNITARIO AÑO 3 8]]*VLOOKUP(Tabla12[[#This Row],[CÓDIGO DEL PRODUCTO Y/O SERVICIO ]],Tabla3[],10,0)</calculatedColumnFormula>
    </tableColumn>
    <tableColumn id="162" xr3:uid="{00000000-0010-0000-0900-0000A2000000}" name="AÑO 4 8" dataDxfId="126">
      <calculatedColumnFormula>Tabla12[[#This Row],[COSTO POR UNIDAD DE PRODUCTO (8)]]*Tabla12[[#This Row],[COSTO UNITARIO AÑO 4 8]]*VLOOKUP(Tabla12[[#This Row],[CÓDIGO DEL PRODUCTO Y/O SERVICIO ]],Tabla3[],14,0)</calculatedColumnFormula>
    </tableColumn>
    <tableColumn id="163" xr3:uid="{00000000-0010-0000-0900-0000A3000000}" name="AÑO 5 8" dataDxfId="125">
      <calculatedColumnFormula>Tabla12[[#This Row],[COSTO POR UNIDAD DE PRODUCTO (8)]]*Tabla12[[#This Row],[COSTO UNITARIO AÑO 5 8]]*VLOOKUP(Tabla12[[#This Row],[CÓDIGO DEL PRODUCTO Y/O SERVICIO ]],Tabla3[],18,0)</calculatedColumnFormula>
    </tableColumn>
    <tableColumn id="164" xr3:uid="{00000000-0010-0000-0900-0000A4000000}" name="UNIDADES PRODUCIDAS AÑO 1 9 " dataDxfId="124">
      <calculatedColumnFormula>VLOOKUP(Tabla12[[#This Row],[CÓDIGO DEL PRODUCTO Y/O SERVICIO ]],Tabla3[],3,0)</calculatedColumnFormula>
    </tableColumn>
    <tableColumn id="165" xr3:uid="{00000000-0010-0000-0900-0000A5000000}" name="CANTIDADES A UTILIZAR EN EL AÑO 1 9" dataDxfId="123">
      <calculatedColumnFormula>Tabla12[[#This Row],[UNIDADES PRODUCIDAS AÑO 1 9 ]]*N143</calculatedColumnFormula>
    </tableColumn>
    <tableColumn id="166" xr3:uid="{00000000-0010-0000-0900-0000A6000000}" name="CAMBIO PORCENTUAL UNIDADES VENDIDAS AÑO 2 9 " dataDxfId="122">
      <calculatedColumnFormula>VLOOKUP(Tabla12[[#This Row],[CÓDIGO DEL PRODUCTO Y/O SERVICIO ]],Tabla3[],9,0)</calculatedColumnFormula>
    </tableColumn>
    <tableColumn id="167" xr3:uid="{00000000-0010-0000-0900-0000A7000000}" name="CANTIDADES A UTILIZAR EN EL AÑO 2 9 " dataDxfId="121">
      <calculatedColumnFormula>Tabla12[[#This Row],[CANTIDADES A UTILIZAR EN EL AÑO 1 9]]*(1+Tabla12[[#This Row],[CAMBIO PORCENTUAL UNIDADES VENDIDAS AÑO 2 9 ]])</calculatedColumnFormula>
    </tableColumn>
    <tableColumn id="168" xr3:uid="{00000000-0010-0000-0900-0000A8000000}" name="CAMBIO PORCENTUAL EN UNIDADES VENDIDAS AÑO 3 9 " dataDxfId="120">
      <calculatedColumnFormula>VLOOKUP(Tabla12[[#This Row],[CÓDIGO DEL PRODUCTO Y/O SERVICIO ]],Tabla3[],13,0)</calculatedColumnFormula>
    </tableColumn>
    <tableColumn id="169" xr3:uid="{00000000-0010-0000-0900-0000A9000000}" name="CANTIDADES A UTILIZAR EN EL AÑO 3 9 " dataDxfId="119">
      <calculatedColumnFormula>Tabla12[[#This Row],[CANTIDADES A UTILIZAR EN EL AÑO 2 9 ]]*(1+Tabla12[[#This Row],[CAMBIO PORCENTUAL EN UNIDADES VENDIDAS AÑO 3 9 ]])</calculatedColumnFormula>
    </tableColumn>
    <tableColumn id="170" xr3:uid="{00000000-0010-0000-0900-0000AA000000}" name="CAMBIO PORCENTUAL EN UNIDADES VENDIDAS AÑO 4 9 " dataDxfId="118">
      <calculatedColumnFormula>VLOOKUP(Tabla12[[#This Row],[CÓDIGO DEL PRODUCTO Y/O SERVICIO ]],Tabla3[],17,0)</calculatedColumnFormula>
    </tableColumn>
    <tableColumn id="171" xr3:uid="{00000000-0010-0000-0900-0000AB000000}" name="CANTIDADES A UTILIZAR EN EL AÑO 4 9" dataDxfId="117">
      <calculatedColumnFormula>Tabla12[[#This Row],[CANTIDADES A UTILIZAR EN EL AÑO 3 9 ]]*(1+Tabla12[[#This Row],[CAMBIO PORCENTUAL EN UNIDADES VENDIDAS AÑO 4 9 ]])</calculatedColumnFormula>
    </tableColumn>
    <tableColumn id="172" xr3:uid="{00000000-0010-0000-0900-0000AC000000}" name="CAMBIO PORCENTUAL EN UNIDADES VENDIDAS AÑO 5 9" dataDxfId="116">
      <calculatedColumnFormula>VLOOKUP(Tabla12[[#This Row],[CÓDIGO DEL PRODUCTO Y/O SERVICIO ]],Tabla3[],21,0)</calculatedColumnFormula>
    </tableColumn>
    <tableColumn id="173" xr3:uid="{00000000-0010-0000-0900-0000AD000000}" name="CANTIDADES A UTILIZAR AÑO 5 9" dataDxfId="115">
      <calculatedColumnFormula>Tabla12[[#This Row],[CANTIDADES A UTILIZAR EN EL AÑO 4 9]]*(1+Tabla12[[#This Row],[CAMBIO PORCENTUAL EN UNIDADES VENDIDAS AÑO 5 9]])</calculatedColumnFormula>
    </tableColumn>
    <tableColumn id="174" xr3:uid="{00000000-0010-0000-0900-0000AE000000}" name="COSTO POR UNIDAD DE PRODUCTO (9)" dataDxfId="114">
      <calculatedColumnFormula>IF(Tabla12[[#This Row],[CANTIDADES A UTILIZAR EN EL AÑO 1 9]]=0,0,Tabla12[[#This Row],[CANTIDADES A UTILIZAR EN EL AÑO 1 9]]*1/Tabla12[[#This Row],[UNIDADES PRODUCIDAS AÑO 1 9 ]])</calculatedColumnFormula>
    </tableColumn>
    <tableColumn id="175" xr3:uid="{00000000-0010-0000-0900-0000AF000000}" name="COSTO UNITARIO AÑO 2 9" dataDxfId="113">
      <calculatedColumnFormula>$C$134*(1+BASES!$E$14)</calculatedColumnFormula>
    </tableColumn>
    <tableColumn id="176" xr3:uid="{00000000-0010-0000-0900-0000B0000000}" name="COSTO UNITARIO AÑO 3 9" dataDxfId="112">
      <calculatedColumnFormula>Tabla12[[#This Row],[COSTO UNITARIO AÑO 2 9]]*(1+BASES!$F$14)</calculatedColumnFormula>
    </tableColumn>
    <tableColumn id="177" xr3:uid="{00000000-0010-0000-0900-0000B1000000}" name="COSTO UNITARIO AÑO 4 9" dataDxfId="111">
      <calculatedColumnFormula>Tabla12[[#This Row],[COSTO UNITARIO AÑO 3 9]]*(1+BASES!$G$14)</calculatedColumnFormula>
    </tableColumn>
    <tableColumn id="178" xr3:uid="{00000000-0010-0000-0900-0000B2000000}" name="COSTO UNITARIO AÑO 5 9" dataDxfId="110">
      <calculatedColumnFormula>Tabla12[[#This Row],[COSTO UNITARIO AÑO 4 9]]*(1+BASES!$H$14)</calculatedColumnFormula>
    </tableColumn>
    <tableColumn id="179" xr3:uid="{00000000-0010-0000-0900-0000B3000000}" name="AÑO 1 9 " dataDxfId="109">
      <calculatedColumnFormula>Tabla12[[#This Row],[COSTO POR UNIDAD DE PRODUCTO (9)]]*$C$134*VLOOKUP(Tabla12[[#This Row],[CÓDIGO DEL PRODUCTO Y/O SERVICIO ]],Tabla3[],3,0)</calculatedColumnFormula>
    </tableColumn>
    <tableColumn id="180" xr3:uid="{00000000-0010-0000-0900-0000B4000000}" name="AÑO 2 9 " dataDxfId="108">
      <calculatedColumnFormula>Tabla12[[#This Row],[COSTO POR UNIDAD DE PRODUCTO (9)]]*Tabla12[[#This Row],[COSTO UNITARIO AÑO 2 9]]*VLOOKUP(Tabla12[[#This Row],[CÓDIGO DEL PRODUCTO Y/O SERVICIO ]],Tabla3[],6,0)</calculatedColumnFormula>
    </tableColumn>
    <tableColumn id="181" xr3:uid="{00000000-0010-0000-0900-0000B5000000}" name="AÑO 3 9" dataDxfId="107">
      <calculatedColumnFormula>Tabla12[[#This Row],[COSTO POR UNIDAD DE PRODUCTO (9)]]*Tabla12[[#This Row],[COSTO UNITARIO AÑO 3 9]]*VLOOKUP(Tabla12[[#This Row],[CÓDIGO DEL PRODUCTO Y/O SERVICIO ]],Tabla3[],10,0)</calculatedColumnFormula>
    </tableColumn>
    <tableColumn id="182" xr3:uid="{00000000-0010-0000-0900-0000B6000000}" name="AÑO 4 9" dataDxfId="106">
      <calculatedColumnFormula>Tabla12[[#This Row],[COSTO POR UNIDAD DE PRODUCTO (9)]]*Tabla12[[#This Row],[COSTO UNITARIO AÑO 4 9]]*VLOOKUP(Tabla12[[#This Row],[CÓDIGO DEL PRODUCTO Y/O SERVICIO ]],Tabla3[],14,0)</calculatedColumnFormula>
    </tableColumn>
    <tableColumn id="183" xr3:uid="{00000000-0010-0000-0900-0000B7000000}" name="AÑO 5 9" dataDxfId="105">
      <calculatedColumnFormula>Tabla12[[#This Row],[COSTO POR UNIDAD DE PRODUCTO (9)]]*Tabla12[[#This Row],[COSTO UNITARIO AÑO 5 9]]*VLOOKUP(Tabla12[[#This Row],[CÓDIGO DEL PRODUCTO Y/O SERVICIO ]],Tabla3[],18,0)</calculatedColumnFormula>
    </tableColumn>
    <tableColumn id="184" xr3:uid="{00000000-0010-0000-0900-0000B8000000}" name="UNIDADES PRODUCIDAS AÑO 1 10 " dataDxfId="104">
      <calculatedColumnFormula>VLOOKUP(Tabla12[[#This Row],[CÓDIGO DEL PRODUCTO Y/O SERVICIO ]],Tabla3[],3,0)</calculatedColumnFormula>
    </tableColumn>
    <tableColumn id="185" xr3:uid="{00000000-0010-0000-0900-0000B9000000}" name="CANTIDADES A UTILIZAR EN EL AÑO 1 10 " dataDxfId="103">
      <calculatedColumnFormula>Tabla12[[#This Row],[UNIDADES PRODUCIDAS AÑO 1 10 ]]*O143</calculatedColumnFormula>
    </tableColumn>
    <tableColumn id="186" xr3:uid="{00000000-0010-0000-0900-0000BA000000}" name="CAMBIO PORCENTUAL EN UNIDADES VENDIDAS AÑO 2 10 " dataDxfId="102">
      <calculatedColumnFormula>VLOOKUP(Tabla12[[#This Row],[CÓDIGO DEL PRODUCTO Y/O SERVICIO ]],Tabla3[],9,0)</calculatedColumnFormula>
    </tableColumn>
    <tableColumn id="187" xr3:uid="{00000000-0010-0000-0900-0000BB000000}" name="CANTIDADES A UTILIZAR EN EL AÑO 2 10" dataDxfId="101">
      <calculatedColumnFormula>Tabla12[[#This Row],[CANTIDADES A UTILIZAR EN EL AÑO 1 10 ]]*(1+Tabla12[[#This Row],[CAMBIO PORCENTUAL EN UNIDADES VENDIDAS AÑO 2 10 ]])</calculatedColumnFormula>
    </tableColumn>
    <tableColumn id="188" xr3:uid="{00000000-0010-0000-0900-0000BC000000}" name="CAMBIO PORCENTUAL EN UNIDADES VENDIDAS AÑO 3 10 " dataDxfId="100">
      <calculatedColumnFormula>VLOOKUP(Tabla12[[#This Row],[CÓDIGO DEL PRODUCTO Y/O SERVICIO ]],Tabla3[],13,0)</calculatedColumnFormula>
    </tableColumn>
    <tableColumn id="189" xr3:uid="{00000000-0010-0000-0900-0000BD000000}" name="CANTIDADES A UTILIZAR EN EL AÑO 3 10" dataDxfId="99">
      <calculatedColumnFormula>Tabla12[[#This Row],[CANTIDADES A UTILIZAR EN EL AÑO 2 10]]*(1+Tabla12[[#This Row],[CAMBIO PORCENTUAL EN UNIDADES VENDIDAS AÑO 3 10 ]])</calculatedColumnFormula>
    </tableColumn>
    <tableColumn id="190" xr3:uid="{00000000-0010-0000-0900-0000BE000000}" name="CAMBIO PORCENTUAL EN UNIDADES VENDIDAS AÑO 4 10 " dataDxfId="98">
      <calculatedColumnFormula>VLOOKUP(Tabla12[[#This Row],[CÓDIGO DEL PRODUCTO Y/O SERVICIO ]],Tabla3[],17,0)</calculatedColumnFormula>
    </tableColumn>
    <tableColumn id="191" xr3:uid="{00000000-0010-0000-0900-0000BF000000}" name="CANTIDADES A UTILIZAR EN EL AÑO 4 10 " dataDxfId="97">
      <calculatedColumnFormula>Tabla12[[#This Row],[CANTIDADES A UTILIZAR EN EL AÑO 3 10]]*(1+Tabla12[[#This Row],[CAMBIO PORCENTUAL EN UNIDADES VENDIDAS AÑO 4 10 ]])</calculatedColumnFormula>
    </tableColumn>
    <tableColumn id="192" xr3:uid="{00000000-0010-0000-0900-0000C0000000}" name="CAMBIO PORCENTUAL EN UNIDADES VENDIDAS AÑO 5 10 " dataDxfId="96">
      <calculatedColumnFormula>VLOOKUP(Tabla12[[#This Row],[CÓDIGO DEL PRODUCTO Y/O SERVICIO ]],Tabla3[],21,0)</calculatedColumnFormula>
    </tableColumn>
    <tableColumn id="193" xr3:uid="{00000000-0010-0000-0900-0000C1000000}" name="CANTIDADES A UTILIZAR AÑO 5 10 " dataDxfId="95">
      <calculatedColumnFormula>Tabla12[[#This Row],[CANTIDADES A UTILIZAR EN EL AÑO 4 10 ]]*(1+Tabla12[[#This Row],[CAMBIO PORCENTUAL EN UNIDADES VENDIDAS AÑO 5 10 ]])</calculatedColumnFormula>
    </tableColumn>
    <tableColumn id="194" xr3:uid="{00000000-0010-0000-0900-0000C2000000}" name="COSTO POR UNIDAD DE PRODUCTO (10)" dataDxfId="94">
      <calculatedColumnFormula>IF(Tabla12[[#This Row],[CANTIDADES A UTILIZAR EN EL AÑO 1 10 ]]=0,0,Tabla12[[#This Row],[CANTIDADES A UTILIZAR EN EL AÑO 1 10 ]]*1/Tabla12[[#This Row],[UNIDADES PRODUCIDAS AÑO 1 10 ]])</calculatedColumnFormula>
    </tableColumn>
    <tableColumn id="195" xr3:uid="{00000000-0010-0000-0900-0000C3000000}" name="COSTO UNITARIO AÑO 2 10 " dataDxfId="93">
      <calculatedColumnFormula>$C$135*(1+BASES!$E$14)</calculatedColumnFormula>
    </tableColumn>
    <tableColumn id="196" xr3:uid="{00000000-0010-0000-0900-0000C4000000}" name="COSTO UNITARIO AÑO 3 10 " dataDxfId="92">
      <calculatedColumnFormula>Tabla12[[#This Row],[COSTO UNITARIO AÑO 2 10 ]]*(1+BASES!$F$14)</calculatedColumnFormula>
    </tableColumn>
    <tableColumn id="197" xr3:uid="{00000000-0010-0000-0900-0000C5000000}" name="COSTO UNITARIO AÑO 4 10" dataDxfId="91">
      <calculatedColumnFormula>Tabla12[[#This Row],[COSTO UNITARIO AÑO 3 10 ]]*(1+BASES!$G$14)</calculatedColumnFormula>
    </tableColumn>
    <tableColumn id="198" xr3:uid="{00000000-0010-0000-0900-0000C6000000}" name="COSTO UNITARIO AÑO 5 10 " dataDxfId="90">
      <calculatedColumnFormula>Tabla12[[#This Row],[COSTO UNITARIO AÑO 4 10]]*(1+BASES!$H$14)</calculatedColumnFormula>
    </tableColumn>
    <tableColumn id="199" xr3:uid="{00000000-0010-0000-0900-0000C7000000}" name="AÑO 1 10 " dataDxfId="89">
      <calculatedColumnFormula>Tabla12[[#This Row],[COSTO POR UNIDAD DE PRODUCTO (10)]]*$C$135*VLOOKUP(Tabla12[[#This Row],[CÓDIGO DEL PRODUCTO Y/O SERVICIO ]],Tabla3[],3,0)</calculatedColumnFormula>
    </tableColumn>
    <tableColumn id="200" xr3:uid="{00000000-0010-0000-0900-0000C8000000}" name="AÑO 2 10 " dataDxfId="88">
      <calculatedColumnFormula>Tabla12[[#This Row],[COSTO POR UNIDAD DE PRODUCTO (10)]]*Tabla12[[#This Row],[COSTO UNITARIO AÑO 2 10 ]]*VLOOKUP(Tabla12[[#This Row],[CÓDIGO DEL PRODUCTO Y/O SERVICIO ]],Tabla3[],6,0)</calculatedColumnFormula>
    </tableColumn>
    <tableColumn id="201" xr3:uid="{00000000-0010-0000-0900-0000C9000000}" name="AÑO 3 10 " dataDxfId="87">
      <calculatedColumnFormula>Tabla12[[#This Row],[COSTO POR UNIDAD DE PRODUCTO (10)]]*Tabla12[[#This Row],[COSTO UNITARIO AÑO 3 10 ]]*VLOOKUP(Tabla12[[#This Row],[CÓDIGO DEL PRODUCTO Y/O SERVICIO ]],Tabla3[],10,0)</calculatedColumnFormula>
    </tableColumn>
    <tableColumn id="202" xr3:uid="{00000000-0010-0000-0900-0000CA000000}" name="AÑO 4 10 " dataDxfId="86">
      <calculatedColumnFormula>Tabla12[[#This Row],[COSTO POR UNIDAD DE PRODUCTO (10)]]*Tabla12[[#This Row],[COSTO UNITARIO AÑO 4 10]]*VLOOKUP(Tabla12[[#This Row],[CÓDIGO DEL PRODUCTO Y/O SERVICIO ]],Tabla3[],14,0)</calculatedColumnFormula>
    </tableColumn>
    <tableColumn id="203" xr3:uid="{00000000-0010-0000-0900-0000CB000000}" name="AÑO 5 10 " dataDxfId="85">
      <calculatedColumnFormula>Tabla12[[#This Row],[COSTO POR UNIDAD DE PRODUCTO (10)]]*Tabla12[[#This Row],[COSTO UNITARIO AÑO 5 10 ]]*VLOOKUP(Tabla12[[#This Row],[CÓDIGO DEL PRODUCTO Y/O SERVICIO ]],Tabla3[],18,0)</calculatedColumnFormula>
    </tableColumn>
    <tableColumn id="204" xr3:uid="{00000000-0010-0000-0900-0000CC000000}" name="AÑO 1 11" dataDxfId="84">
      <calculatedColumnFormula>Tabla12[[#This Row],[AÑO 1 10 ]]+Tabla12[[#This Row],[AÑO 1 9 ]]+Tabla12[[#This Row],[AÑO 1 8]]+Tabla12[[#This Row],[AÑO 1 7]]+Tabla12[[#This Row],[AÑO 1 6]]+Tabla12[[#This Row],[AÑO 1 5]]+Tabla12[[#This Row],[AÑO 1 4 ]]+Tabla12[[#This Row],[AÑO 1 3]]+Tabla12[[#This Row],[AÑO 1 2]]+Tabla12[[#This Row],[AÑO 1 1]]</calculatedColumnFormula>
    </tableColumn>
    <tableColumn id="205" xr3:uid="{00000000-0010-0000-0900-0000CD000000}" name="AÑO 2 11" dataDxfId="83">
      <calculatedColumnFormula>Tabla12[[#This Row],[AÑO 2 10 ]]+Tabla12[[#This Row],[AÑO 2 9 ]]+Tabla12[[#This Row],[AÑO 2 8]]+Tabla12[[#This Row],[AÑO 2 7]]+Tabla12[[#This Row],[AÑO 2 6]]+Tabla12[[#This Row],[AÑO 2 5]]+Tabla12[[#This Row],[AÑO 2 4 ]]+Tabla12[[#This Row],[AÑO 2 3]]+Tabla12[[#This Row],[AÑO 2 2 ]]+Tabla12[[#This Row],[AÑO 2 1 ]]</calculatedColumnFormula>
    </tableColumn>
    <tableColumn id="206" xr3:uid="{00000000-0010-0000-0900-0000CE000000}" name="AÑO 3 11" dataDxfId="82">
      <calculatedColumnFormula>Tabla12[[#This Row],[AÑO 3 10 ]]+Tabla12[[#This Row],[AÑO 3 9]]+Tabla12[[#This Row],[AÑO 3 8]]+Tabla12[[#This Row],[AÑO 3 7]]+Tabla12[[#This Row],[AÑO 3 6]]+Tabla12[[#This Row],[AÑO 3 5]]+Tabla12[[#This Row],[AÑO 3 4 ]]+Tabla12[[#This Row],[AÑO 3 3 ]]+Tabla12[[#This Row],[AÑO 3 2 ]]+Tabla12[[#This Row],[AÑO 3 1 ]]</calculatedColumnFormula>
    </tableColumn>
    <tableColumn id="207" xr3:uid="{00000000-0010-0000-0900-0000CF000000}" name="AÑO 4 11 " dataDxfId="81">
      <calculatedColumnFormula>Tabla12[[#This Row],[AÑO 4 10 ]]+Tabla12[[#This Row],[AÑO 4 9]]+Tabla12[[#This Row],[AÑO 4 8]]+Tabla12[[#This Row],[AÑO 4 7]]+Tabla12[[#This Row],[AÑO 4 6]]+Tabla12[[#This Row],[AÑO 4 5]]+Tabla12[[#This Row],[AÑO 4 4 ]]+Tabla12[[#This Row],[AÑO 4 3 ]]+Tabla12[[#This Row],[AÑO 4 2 ]]+Tabla12[[#This Row],[AÑO 4 1 ]]</calculatedColumnFormula>
    </tableColumn>
    <tableColumn id="208" xr3:uid="{00000000-0010-0000-0900-0000D0000000}" name="AÑO 5 11 " dataDxfId="80">
      <calculatedColumnFormula>Tabla12[[#This Row],[AÑO 5 10 ]]+Tabla12[[#This Row],[AÑO 5 9]]+Tabla12[[#This Row],[AÑO 5 8]]+Tabla12[[#This Row],[AÑO 5 7]]+Tabla12[[#This Row],[AÑO 5 6]]+Tabla12[[#This Row],[AÑO 5 5]]+Tabla12[[#This Row],[AÑO 5 4 ]]+Tabla12[[#This Row],[AÑO 5 3 ]]+Tabla12[[#This Row],[AÑO 5 2 ]]+Tabla12[[#This Row],[AÑO 5 1 ]]</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A000000}" name="Tabla15" displayName="Tabla15" ref="C187:Y188" totalsRowShown="0" headerRowDxfId="79" dataDxfId="78">
  <autoFilter ref="C187:Y188" xr:uid="{00000000-0009-0000-0100-00000F000000}"/>
  <tableColumns count="23">
    <tableColumn id="1" xr3:uid="{00000000-0010-0000-0A00-000001000000}" name="CÓDIGO DEL PRODUCTO Y/O SERVICIO " dataDxfId="77"/>
    <tableColumn id="2" xr3:uid="{00000000-0010-0000-0A00-000002000000}" name="NOMBRE DEL PRODUCTO Y/O SERVICIO " dataDxfId="76">
      <calculatedColumnFormula>VLOOKUP(Tabla15[[#This Row],[CÓDIGO DEL PRODUCTO Y/O SERVICIO ]],Tabla3[],2,0)</calculatedColumnFormula>
    </tableColumn>
    <tableColumn id="3" xr3:uid="{00000000-0010-0000-0A00-000003000000}" name="Columna1" dataDxfId="75"/>
    <tableColumn id="4" xr3:uid="{00000000-0010-0000-0A00-000004000000}" name="AÑO 1 " dataDxfId="74">
      <calculatedColumnFormula>IF(F57=0,0,OP57/F57)</calculatedColumnFormula>
    </tableColumn>
    <tableColumn id="5" xr3:uid="{00000000-0010-0000-0A00-000005000000}" name="AÑO 2 " dataDxfId="73">
      <calculatedColumnFormula>IF(PRODUCTO_O_SERVICIO!G24=0,0,COSTOS_DE_PRODUCCION!OQ57/PRODUCTO_O_SERVICIO!G24)</calculatedColumnFormula>
    </tableColumn>
    <tableColumn id="6" xr3:uid="{00000000-0010-0000-0A00-000006000000}" name="AÑO 3 " dataDxfId="72">
      <calculatedColumnFormula>IF(PRODUCTO_O_SERVICIO!K24=0,0,COSTOS_DE_PRODUCCION!OR57/PRODUCTO_O_SERVICIO!K24)</calculatedColumnFormula>
    </tableColumn>
    <tableColumn id="7" xr3:uid="{00000000-0010-0000-0A00-000007000000}" name="AÑO 4" dataDxfId="71">
      <calculatedColumnFormula>IF(PRODUCTO_O_SERVICIO!O24=0,0,COSTOS_DE_PRODUCCION!OS57/PRODUCTO_O_SERVICIO!O24)</calculatedColumnFormula>
    </tableColumn>
    <tableColumn id="8" xr3:uid="{00000000-0010-0000-0A00-000008000000}" name="AÑO 5 " dataDxfId="70">
      <calculatedColumnFormula>IF(PRODUCTO_O_SERVICIO!S24=0,0,COSTOS_DE_PRODUCCION!OT57/PRODUCTO_O_SERVICIO!S24)</calculatedColumnFormula>
    </tableColumn>
    <tableColumn id="9" xr3:uid="{00000000-0010-0000-0A00-000009000000}" name="AÑO 1 2" dataDxfId="69">
      <calculatedColumnFormula>IF(PRODUCTO_O_SERVICIO!D24=0,0,COSTOS_DE_PRODUCCION!GX107/PRODUCTO_O_SERVICIO!D24)</calculatedColumnFormula>
    </tableColumn>
    <tableColumn id="10" xr3:uid="{00000000-0010-0000-0A00-00000A000000}" name="AÑO 2 2" dataDxfId="68">
      <calculatedColumnFormula>IF(PRODUCTO_O_SERVICIO!G24=0,0,COSTOS_DE_PRODUCCION!GY107/PRODUCTO_O_SERVICIO!G24)</calculatedColumnFormula>
    </tableColumn>
    <tableColumn id="11" xr3:uid="{00000000-0010-0000-0A00-00000B000000}" name="AÑO 3 2" dataDxfId="67">
      <calculatedColumnFormula>IF(PRODUCTO_O_SERVICIO!K24=0,0,COSTOS_DE_PRODUCCION!GZ107/PRODUCTO_O_SERVICIO!K24)</calculatedColumnFormula>
    </tableColumn>
    <tableColumn id="12" xr3:uid="{00000000-0010-0000-0A00-00000C000000}" name="AÑO 4 2" dataDxfId="66">
      <calculatedColumnFormula>IF(PRODUCTO_O_SERVICIO!O24=0,0,COSTOS_DE_PRODUCCION!HA107/PRODUCTO_O_SERVICIO!O24)</calculatedColumnFormula>
    </tableColumn>
    <tableColumn id="13" xr3:uid="{00000000-0010-0000-0A00-00000D000000}" name="AÑO 5 2" dataDxfId="65">
      <calculatedColumnFormula>IF(PRODUCTO_O_SERVICIO!S24=0,0,COSTOS_DE_PRODUCCION!HB107/PRODUCTO_O_SERVICIO!S24)</calculatedColumnFormula>
    </tableColumn>
    <tableColumn id="14" xr3:uid="{00000000-0010-0000-0A00-00000E000000}" name="AÑO 1 3" dataDxfId="64">
      <calculatedColumnFormula>IF(PRODUCTO_O_SERVICIO!D24=0,0,COSTOS_DE_PRODUCCION!GX161/PRODUCTO_O_SERVICIO!D24)</calculatedColumnFormula>
    </tableColumn>
    <tableColumn id="15" xr3:uid="{00000000-0010-0000-0A00-00000F000000}" name="AÑO 2 3" dataDxfId="63">
      <calculatedColumnFormula>IF(PRODUCTO_O_SERVICIO!G24=0,0,COSTOS_DE_PRODUCCION!GY161/PRODUCTO_O_SERVICIO!G24)</calculatedColumnFormula>
    </tableColumn>
    <tableColumn id="16" xr3:uid="{00000000-0010-0000-0A00-000010000000}" name="AÑO 3 3" dataDxfId="62">
      <calculatedColumnFormula>IF(PRODUCTO_O_SERVICIO!K24=0,0,COSTOS_DE_PRODUCCION!GZ161/PRODUCTO_O_SERVICIO!K24)</calculatedColumnFormula>
    </tableColumn>
    <tableColumn id="17" xr3:uid="{00000000-0010-0000-0A00-000011000000}" name="AÑO 4 3 " dataDxfId="61">
      <calculatedColumnFormula>IF(PRODUCTO_O_SERVICIO!O24=0,0,COSTOS_DE_PRODUCCION!HA161/PRODUCTO_O_SERVICIO!O24)</calculatedColumnFormula>
    </tableColumn>
    <tableColumn id="18" xr3:uid="{00000000-0010-0000-0A00-000012000000}" name="AÑO 5 3" dataDxfId="60">
      <calculatedColumnFormula>IF(PRODUCTO_O_SERVICIO!S24=0,0,COSTOS_DE_PRODUCCION!HB161/PRODUCTO_O_SERVICIO!S24)</calculatedColumnFormula>
    </tableColumn>
    <tableColumn id="19" xr3:uid="{00000000-0010-0000-0A00-000013000000}" name="AÑO 1 4" dataDxfId="59">
      <calculatedColumnFormula>Tabla15[[#This Row],[AÑO 1 ]]+Tabla15[[#This Row],[AÑO 1 2]]+Tabla15[[#This Row],[AÑO 1 3]]</calculatedColumnFormula>
    </tableColumn>
    <tableColumn id="20" xr3:uid="{00000000-0010-0000-0A00-000014000000}" name="AÑO 2 4" dataDxfId="58">
      <calculatedColumnFormula>Tabla15[[#This Row],[AÑO 2 ]]+Tabla15[[#This Row],[AÑO 2 2]]+Tabla15[[#This Row],[AÑO 2 3]]</calculatedColumnFormula>
    </tableColumn>
    <tableColumn id="21" xr3:uid="{00000000-0010-0000-0A00-000015000000}" name="AÑO 3 4" dataDxfId="57">
      <calculatedColumnFormula>Tabla15[[#This Row],[AÑO 3 ]]+Tabla15[[#This Row],[AÑO 3 2]]+Tabla15[[#This Row],[AÑO 3 3]]</calculatedColumnFormula>
    </tableColumn>
    <tableColumn id="22" xr3:uid="{00000000-0010-0000-0A00-000016000000}" name="AÑO 4 4 " dataDxfId="56">
      <calculatedColumnFormula>Tabla15[[#This Row],[AÑO 4]]+Tabla15[[#This Row],[AÑO 4 2]]+Tabla15[[#This Row],[AÑO 4 3 ]]</calculatedColumnFormula>
    </tableColumn>
    <tableColumn id="23" xr3:uid="{00000000-0010-0000-0A00-000017000000}" name="AÑO 5 4" dataDxfId="55">
      <calculatedColumnFormula>Tabla15[[#This Row],[AÑO 5 ]]+Tabla15[[#This Row],[AÑO 5 2]]+Tabla15[[#This Row],[AÑO 5 3]]</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00000}" name="Tabla2" displayName="Tabla2" ref="D8:O9" totalsRowShown="0" headerRowDxfId="54" dataDxfId="53">
  <autoFilter ref="D8:O9" xr:uid="{00000000-0009-0000-0100-000002000000}"/>
  <tableColumns count="12">
    <tableColumn id="1" xr3:uid="{00000000-0010-0000-0B00-000001000000}" name="CÓDIGO " dataDxfId="52"/>
    <tableColumn id="2" xr3:uid="{00000000-0010-0000-0B00-000002000000}" name="Producto y/o servicio " dataDxfId="51">
      <calculatedColumnFormula>VLOOKUP(Tabla2[[#This Row],[CÓDIGO ]],Tabla3[],2,0)</calculatedColumnFormula>
    </tableColumn>
    <tableColumn id="3" xr3:uid="{00000000-0010-0000-0B00-000003000000}" name="Precio de venta año 1 " dataDxfId="50">
      <calculatedColumnFormula>VLOOKUP(Tabla2[[#This Row],[CÓDIGO ]],Tabla3[],4,0)</calculatedColumnFormula>
    </tableColumn>
    <tableColumn id="4" xr3:uid="{00000000-0010-0000-0B00-000004000000}" name="Ingresos totales año 1" dataDxfId="49">
      <calculatedColumnFormula>Tabla2[[#This Row],[Precio de venta año 1 ]]*VLOOKUP(Tabla2[[#This Row],[CÓDIGO ]],Tabla3[],3,FALSE)</calculatedColumnFormula>
    </tableColumn>
    <tableColumn id="5" xr3:uid="{00000000-0010-0000-0B00-000005000000}" name="Precio de venta año 2 " dataDxfId="48">
      <calculatedColumnFormula>VLOOKUP(Tabla2[[#This Row],[CÓDIGO ]],Tabla3[],7,FALSE)</calculatedColumnFormula>
    </tableColumn>
    <tableColumn id="6" xr3:uid="{00000000-0010-0000-0B00-000006000000}" name="Ingresos totales año 2 " dataDxfId="47">
      <calculatedColumnFormula>Tabla2[[#This Row],[Precio de venta año 2 ]]*VLOOKUP(Tabla2[[#This Row],[CÓDIGO ]],Tabla3[],6,FALSE)</calculatedColumnFormula>
    </tableColumn>
    <tableColumn id="7" xr3:uid="{00000000-0010-0000-0B00-000007000000}" name="Precio de venta año 3 " dataDxfId="46">
      <calculatedColumnFormula>VLOOKUP(Tabla2[[#This Row],[CÓDIGO ]],Tabla3[],11,FALSE)</calculatedColumnFormula>
    </tableColumn>
    <tableColumn id="8" xr3:uid="{00000000-0010-0000-0B00-000008000000}" name="Ingresos totales año 3 " dataDxfId="45">
      <calculatedColumnFormula>Tabla2[[#This Row],[Precio de venta año 3 ]]*VLOOKUP(Tabla2[[#This Row],[CÓDIGO ]],Tabla3[],10,FALSE)</calculatedColumnFormula>
    </tableColumn>
    <tableColumn id="9" xr3:uid="{00000000-0010-0000-0B00-000009000000}" name="Precio de venta año 4 " dataDxfId="44">
      <calculatedColumnFormula>VLOOKUP(Tabla2[[#This Row],[CÓDIGO ]],Tabla3[],15,FALSE)</calculatedColumnFormula>
    </tableColumn>
    <tableColumn id="10" xr3:uid="{00000000-0010-0000-0B00-00000A000000}" name="Ingresos totales año 4" dataDxfId="43">
      <calculatedColumnFormula>Tabla2[[#This Row],[Precio de venta año 4 ]]*VLOOKUP(Tabla2[[#This Row],[CÓDIGO ]],Tabla3[],14,FALSE)</calculatedColumnFormula>
    </tableColumn>
    <tableColumn id="11" xr3:uid="{00000000-0010-0000-0B00-00000B000000}" name="Precio de venta año 5" dataDxfId="42">
      <calculatedColumnFormula>VLOOKUP(Tabla2[[#This Row],[CÓDIGO ]],Tabla3[],19,FALSE)</calculatedColumnFormula>
    </tableColumn>
    <tableColumn id="12" xr3:uid="{00000000-0010-0000-0B00-00000C000000}" name="Ingresos totales año 5" dataDxfId="41">
      <calculatedColumnFormula>Tabla2[[#This Row],[Precio de venta año 5]]*VLOOKUP(Tabla2[[#This Row],[CÓDIGO ]],Tabla3[],18,FALSE)</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C000000}" name="Tabla5" displayName="Tabla5" ref="D21:T22" totalsRowShown="0" headerRowDxfId="40" dataDxfId="39">
  <autoFilter ref="D21:T22" xr:uid="{00000000-0009-0000-0100-000005000000}"/>
  <tableColumns count="17">
    <tableColumn id="1" xr3:uid="{00000000-0010-0000-0C00-000001000000}" name="CÓDIGO " dataDxfId="38"/>
    <tableColumn id="2" xr3:uid="{00000000-0010-0000-0C00-000002000000}" name="Producto y/o servicio " dataDxfId="37">
      <calculatedColumnFormula>VLOOKUP(Tabla5[[#This Row],[CÓDIGO ]],Tabla3[],2,0)</calculatedColumnFormula>
    </tableColumn>
    <tableColumn id="3" xr3:uid="{00000000-0010-0000-0C00-000003000000}" name="Precio de venta unitario año 1" dataDxfId="36">
      <calculatedColumnFormula>VLOOKUP(Tabla5[[#This Row],[CÓDIGO ]],Tabla3[],4,0)</calculatedColumnFormula>
    </tableColumn>
    <tableColumn id="4" xr3:uid="{00000000-0010-0000-0C00-000004000000}" name="(-) Costo de producción unitario año 1" dataDxfId="35">
      <calculatedColumnFormula>VLOOKUP(Tabla5[[#This Row],[CÓDIGO ]],Tabla15[],18,0)</calculatedColumnFormula>
    </tableColumn>
    <tableColumn id="5" xr3:uid="{00000000-0010-0000-0C00-000005000000}" name="Margen de contribución unitario año 1" dataDxfId="34">
      <calculatedColumnFormula>Tabla5[[#This Row],[Precio de venta unitario año 1]]-Tabla5[[#This Row],[(-) Costo de producción unitario año 1]]</calculatedColumnFormula>
    </tableColumn>
    <tableColumn id="6" xr3:uid="{00000000-0010-0000-0C00-000006000000}" name="Precio de venta unitario año 2" dataDxfId="33">
      <calculatedColumnFormula>VLOOKUP(Tabla5[[#This Row],[CÓDIGO ]],Tabla3[],7,0)</calculatedColumnFormula>
    </tableColumn>
    <tableColumn id="7" xr3:uid="{00000000-0010-0000-0C00-000007000000}" name="(-) Costo de producción unitario año 2" dataDxfId="32">
      <calculatedColumnFormula>VLOOKUP(Tabla5[[#This Row],[CÓDIGO ]],Tabla15[],19,0)</calculatedColumnFormula>
    </tableColumn>
    <tableColumn id="8" xr3:uid="{00000000-0010-0000-0C00-000008000000}" name="Margen de contribución unitario año 2" dataDxfId="31">
      <calculatedColumnFormula>Tabla5[[#This Row],[Precio de venta unitario año 2]]-Tabla5[[#This Row],[(-) Costo de producción unitario año 2]]</calculatedColumnFormula>
    </tableColumn>
    <tableColumn id="9" xr3:uid="{00000000-0010-0000-0C00-000009000000}" name="Precio de venta unitario año 3" dataDxfId="30">
      <calculatedColumnFormula>VLOOKUP(Tabla5[[#This Row],[CÓDIGO ]],Tabla3[],11,0)</calculatedColumnFormula>
    </tableColumn>
    <tableColumn id="10" xr3:uid="{00000000-0010-0000-0C00-00000A000000}" name="(-) Costo de producción unitario año 3" dataDxfId="29">
      <calculatedColumnFormula>VLOOKUP(Tabla5[[#This Row],[CÓDIGO ]],Tabla15[],20,0)</calculatedColumnFormula>
    </tableColumn>
    <tableColumn id="11" xr3:uid="{00000000-0010-0000-0C00-00000B000000}" name="Margen de contribución unitario año 3" dataDxfId="28">
      <calculatedColumnFormula>Tabla5[[#This Row],[Precio de venta unitario año 3]]-Tabla5[[#This Row],[(-) Costo de producción unitario año 3]]</calculatedColumnFormula>
    </tableColumn>
    <tableColumn id="12" xr3:uid="{00000000-0010-0000-0C00-00000C000000}" name="Precio de venta unitario año 4" dataDxfId="27">
      <calculatedColumnFormula>VLOOKUP(Tabla5[[#This Row],[CÓDIGO ]],Tabla3[],15,0)</calculatedColumnFormula>
    </tableColumn>
    <tableColumn id="13" xr3:uid="{00000000-0010-0000-0C00-00000D000000}" name="(-) Costo de producción unitario año 4" dataDxfId="26">
      <calculatedColumnFormula>VLOOKUP(Tabla5[[#This Row],[CÓDIGO ]],Tabla15[],21,0)</calculatedColumnFormula>
    </tableColumn>
    <tableColumn id="14" xr3:uid="{00000000-0010-0000-0C00-00000E000000}" name="Margen de contribución unitario año 4" dataDxfId="25">
      <calculatedColumnFormula>Tabla5[[#This Row],[Precio de venta unitario año 4]]-Tabla5[[#This Row],[(-) Costo de producción unitario año 4]]</calculatedColumnFormula>
    </tableColumn>
    <tableColumn id="15" xr3:uid="{00000000-0010-0000-0C00-00000F000000}" name="Precio de venta unitario año 5" dataDxfId="24">
      <calculatedColumnFormula>VLOOKUP(Tabla5[[#This Row],[CÓDIGO ]],Tabla3[],19,0)</calculatedColumnFormula>
    </tableColumn>
    <tableColumn id="16" xr3:uid="{00000000-0010-0000-0C00-000010000000}" name="(-) Costo de producción unitario año 5" dataDxfId="23">
      <calculatedColumnFormula>VLOOKUP(Tabla5[[#This Row],[CÓDIGO ]],Tabla15[],22,0)</calculatedColumnFormula>
    </tableColumn>
    <tableColumn id="17" xr3:uid="{00000000-0010-0000-0C00-000011000000}" name="Margen de contribución unitario año 5" dataDxfId="22">
      <calculatedColumnFormula>Tabla5[[#This Row],[Precio de venta unitario año 5]]-Tabla5[[#This Row],[(-) Costo de producción unitario año 5]]</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D000000}" name="Tabla6" displayName="Tabla6" ref="E8:K9" totalsRowShown="0" headerRowDxfId="21" dataDxfId="20">
  <autoFilter ref="E8:K9" xr:uid="{00000000-0009-0000-0100-000006000000}"/>
  <tableColumns count="7">
    <tableColumn id="1" xr3:uid="{00000000-0010-0000-0D00-000001000000}" name="CÓDIGO " dataDxfId="19"/>
    <tableColumn id="2" xr3:uid="{00000000-0010-0000-0D00-000002000000}" name="PRODUCTO Y/O SERVICIO " dataDxfId="18">
      <calculatedColumnFormula>VLOOKUP(Tabla6[[#This Row],[CÓDIGO ]],Tabla3[],2,0)</calculatedColumnFormula>
    </tableColumn>
    <tableColumn id="3" xr3:uid="{00000000-0010-0000-0D00-000003000000}" name="INGRESOS TOTALES" dataDxfId="17">
      <calculatedColumnFormula>VLOOKUP(Tabla6[[#This Row],[CÓDIGO ]],Tabla2[],4,0)</calculatedColumnFormula>
    </tableColumn>
    <tableColumn id="4" xr3:uid="{00000000-0010-0000-0D00-000004000000}" name="PRECIO DE VENTA " dataDxfId="16">
      <calculatedColumnFormula>VLOOKUP(Tabla6[[#This Row],[CÓDIGO ]],Tabla3[],4,0)</calculatedColumnFormula>
    </tableColumn>
    <tableColumn id="5" xr3:uid="{00000000-0010-0000-0D00-000005000000}" name="COSTOS DE PRODUCCIÓN " dataDxfId="15">
      <calculatedColumnFormula>VLOOKUP(Tabla6[[#This Row],[CÓDIGO ]],Tabla15[],18,0)</calculatedColumnFormula>
    </tableColumn>
    <tableColumn id="6" xr3:uid="{00000000-0010-0000-0D00-000006000000}" name="MARGEN DE CONTRIBUCIÓN UNITARIO " dataDxfId="14">
      <calculatedColumnFormula>Tabla6[[#This Row],[PRECIO DE VENTA ]]-Tabla6[[#This Row],[COSTOS DE PRODUCCIÓN ]]</calculatedColumnFormula>
    </tableColumn>
    <tableColumn id="7" xr3:uid="{00000000-0010-0000-0D00-000007000000}" name="PARTICIPACIÓN PORCENTUAL DE LAS VENTAS " dataDxfId="13">
      <calculatedColumnFormula>IF($G$11=0,0,G9/$G$11)</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E000000}" name="Tabla7" displayName="Tabla7" ref="E18:I19" totalsRowShown="0" headerRowDxfId="12" dataDxfId="11">
  <autoFilter ref="E18:I19" xr:uid="{00000000-0009-0000-0100-000007000000}"/>
  <tableColumns count="5">
    <tableColumn id="1" xr3:uid="{00000000-0010-0000-0E00-000001000000}" name="CÓDIGO " dataDxfId="10"/>
    <tableColumn id="2" xr3:uid="{00000000-0010-0000-0E00-000002000000}" name="PRODUCTO Y/O SERVICIO " dataDxfId="9">
      <calculatedColumnFormula>VLOOKUP(Tabla7[[#This Row],[CÓDIGO ]],Tabla3[],2,0)</calculatedColumnFormula>
    </tableColumn>
    <tableColumn id="3" xr3:uid="{00000000-0010-0000-0E00-000003000000}" name="MARGEN DE CONTRIBUCIÓN UNITARIO " dataDxfId="8">
      <calculatedColumnFormula>VLOOKUP(Tabla7[[#This Row],[CÓDIGO ]],Tabla6[],6,0)</calculatedColumnFormula>
    </tableColumn>
    <tableColumn id="4" xr3:uid="{00000000-0010-0000-0E00-000004000000}" name="PARTICIPACIÓN % EN VENTAS " dataDxfId="7">
      <calculatedColumnFormula>VLOOKUP(Tabla7[[#This Row],[CÓDIGO ]],Tabla6[],7,0)</calculatedColumnFormula>
    </tableColumn>
    <tableColumn id="5" xr3:uid="{00000000-0010-0000-0E00-000005000000}" name="MARGEN PONDERADO " dataDxfId="6">
      <calculatedColumnFormula>Tabla7[[#This Row],[MARGEN DE CONTRIBUCIÓN UNITARIO ]]*Tabla7[[#This Row],[PARTICIPACIÓN % EN VENTAS ]]</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Tabla8" displayName="Tabla8" ref="E38:H39" totalsRowShown="0" headerRowDxfId="5" dataDxfId="4">
  <autoFilter ref="E38:H39" xr:uid="{00000000-0009-0000-0100-000008000000}"/>
  <tableColumns count="4">
    <tableColumn id="1" xr3:uid="{00000000-0010-0000-0F00-000001000000}" name="CÓDIGO " dataDxfId="3"/>
    <tableColumn id="2" xr3:uid="{00000000-0010-0000-0F00-000002000000}" name="PRODUCTO Y/O SERVICIO " dataDxfId="2">
      <calculatedColumnFormula>VLOOKUP(Tabla8[[#This Row],[CÓDIGO ]],Tabla3[],2,0)</calculatedColumnFormula>
    </tableColumn>
    <tableColumn id="3" xr3:uid="{00000000-0010-0000-0F00-000003000000}" name="-" dataDxfId="1">
      <calculatedColumnFormula>$G$31*VLOOKUP(Tabla8[[#This Row],[CÓDIGO ]],Tabla6[],7,0)</calculatedColumnFormula>
    </tableColumn>
    <tableColumn id="4" xr3:uid="{00000000-0010-0000-0F00-000004000000}" name="UNIDADES CALCULADAS PARA EL GRÁFICO " dataDxfId="0">
      <calculatedColumnFormula>$Q$22*VLOOKUP(Tabla8[[#This Row],[CÓDIGO ]],Tabla6[],7,0)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image" Target="../media/image3.emf"/><Relationship Id="rId4" Type="http://schemas.openxmlformats.org/officeDocument/2006/relationships/package" Target="../embeddings/Microsoft_Word_Macro-Enabled_Document.docm"/></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dane.gov.co/index.php/estadisticas-por-tema/precios-y-costos/indice-de-precios-del-productor-ipp" TargetMode="External"/><Relationship Id="rId7" Type="http://schemas.openxmlformats.org/officeDocument/2006/relationships/hyperlink" Target="https://www.gerencie.com/cuales-son-la-cargas-prestaciones-en-la-contratacion-de-personal.html" TargetMode="External"/><Relationship Id="rId2" Type="http://schemas.openxmlformats.org/officeDocument/2006/relationships/hyperlink" Target="https://www.larepublica.co/globoeconomia/peso-colombiano-la-moneda-mas-devaluada-de-latinoamerica-segun-indice-big-mac-3298414" TargetMode="External"/><Relationship Id="rId1" Type="http://schemas.openxmlformats.org/officeDocument/2006/relationships/hyperlink" Target="https://www.dane.gov.co/index.php/component/search/?searchword=inflacion&amp;searchphra" TargetMode="External"/><Relationship Id="rId6" Type="http://schemas.openxmlformats.org/officeDocument/2006/relationships/hyperlink" Target="https://www.dian.gov.co/impuestos/reformatributaria/impuestoalariqueza/Paginas/quienesdebendeclarar.aspx" TargetMode="External"/><Relationship Id="rId11" Type="http://schemas.openxmlformats.org/officeDocument/2006/relationships/comments" Target="../comments1.xml"/><Relationship Id="rId5" Type="http://schemas.openxmlformats.org/officeDocument/2006/relationships/hyperlink" Target="https://www.dian.gov.co/impuestos/personas/Paginas/gravamen_movimientos_financieros.aspx" TargetMode="External"/><Relationship Id="rId10" Type="http://schemas.openxmlformats.org/officeDocument/2006/relationships/vmlDrawing" Target="../drawings/vmlDrawing2.vml"/><Relationship Id="rId4" Type="http://schemas.openxmlformats.org/officeDocument/2006/relationships/hyperlink" Target="https://www.anif.com.co/tipo-indicador/ibr/" TargetMode="Externa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vmlDrawing" Target="../drawings/vmlDrawing4.v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1.xml"/><Relationship Id="rId1" Type="http://schemas.openxmlformats.org/officeDocument/2006/relationships/printerSettings" Target="../printerSettings/printerSettings8.bin"/><Relationship Id="rId5" Type="http://schemas.openxmlformats.org/officeDocument/2006/relationships/table" Target="../tables/table16.xml"/><Relationship Id="rId4"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N30"/>
  <sheetViews>
    <sheetView showGridLines="0" zoomScale="90" zoomScaleNormal="90" workbookViewId="0"/>
  </sheetViews>
  <sheetFormatPr baseColWidth="10" defaultColWidth="0" defaultRowHeight="15" zeroHeight="1" x14ac:dyDescent="0.25"/>
  <cols>
    <col min="1" max="1" width="3.7109375" style="446" customWidth="1"/>
    <col min="2" max="13" width="11.42578125" style="446" customWidth="1"/>
    <col min="14" max="14" width="3.7109375" style="446" customWidth="1"/>
    <col min="15" max="16384" width="11.42578125" style="446"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3:12" x14ac:dyDescent="0.25"/>
    <row r="18" spans="3:12" x14ac:dyDescent="0.25"/>
    <row r="19" spans="3:12" x14ac:dyDescent="0.25"/>
    <row r="20" spans="3:12" x14ac:dyDescent="0.25"/>
    <row r="21" spans="3:12" ht="15.75" thickBot="1" x14ac:dyDescent="0.3">
      <c r="C21" s="515" t="s">
        <v>0</v>
      </c>
      <c r="D21" s="515"/>
      <c r="E21" s="515"/>
      <c r="F21" s="515"/>
      <c r="G21" s="515"/>
      <c r="H21" s="515"/>
      <c r="I21" s="515"/>
      <c r="J21" s="515"/>
      <c r="K21" s="515"/>
      <c r="L21" s="515"/>
    </row>
    <row r="22" spans="3:12" x14ac:dyDescent="0.25">
      <c r="C22" s="516" t="s">
        <v>1</v>
      </c>
      <c r="D22" s="517"/>
      <c r="E22" s="517"/>
      <c r="F22" s="517"/>
      <c r="G22" s="517"/>
      <c r="H22" s="517"/>
      <c r="I22" s="517"/>
      <c r="J22" s="517"/>
      <c r="K22" s="517"/>
      <c r="L22" s="518"/>
    </row>
    <row r="23" spans="3:12" ht="15.75" thickBot="1" x14ac:dyDescent="0.3">
      <c r="C23" s="519"/>
      <c r="D23" s="520"/>
      <c r="E23" s="520"/>
      <c r="F23" s="520"/>
      <c r="G23" s="520"/>
      <c r="H23" s="520"/>
      <c r="I23" s="520"/>
      <c r="J23" s="520"/>
      <c r="K23" s="520"/>
      <c r="L23" s="521"/>
    </row>
    <row r="24" spans="3:12" x14ac:dyDescent="0.25"/>
    <row r="25" spans="3:12" x14ac:dyDescent="0.25"/>
    <row r="26" spans="3:12" x14ac:dyDescent="0.25"/>
    <row r="27" spans="3:12" x14ac:dyDescent="0.25"/>
    <row r="28" spans="3:12" x14ac:dyDescent="0.25"/>
    <row r="29" spans="3:12" x14ac:dyDescent="0.25"/>
    <row r="30" spans="3:12" x14ac:dyDescent="0.25"/>
  </sheetData>
  <mergeCells count="2">
    <mergeCell ref="C21:L21"/>
    <mergeCell ref="C22:L2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H81"/>
  <sheetViews>
    <sheetView showGridLines="0" zoomScale="60" zoomScaleNormal="60" workbookViewId="0"/>
  </sheetViews>
  <sheetFormatPr baseColWidth="10" defaultColWidth="0" defaultRowHeight="15" zeroHeight="1" x14ac:dyDescent="0.25"/>
  <cols>
    <col min="1" max="1" width="3.7109375" customWidth="1"/>
    <col min="2" max="2" width="237.140625" customWidth="1"/>
    <col min="3" max="7" width="11.42578125" customWidth="1"/>
    <col min="8" max="8" width="3.7109375" customWidth="1"/>
    <col min="9" max="16384" width="11.42578125" hidden="1"/>
  </cols>
  <sheetData>
    <row r="1" spans="2:2" x14ac:dyDescent="0.25"/>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ht="21.75" thickBot="1" x14ac:dyDescent="0.3">
      <c r="B14" s="442" t="s">
        <v>2</v>
      </c>
    </row>
    <row r="15" spans="2:2" ht="21.75" thickBot="1" x14ac:dyDescent="0.3">
      <c r="B15" s="447" t="str">
        <f>INICIO!C22</f>
        <v>PRUEBA</v>
      </c>
    </row>
    <row r="16" spans="2:2" ht="21" x14ac:dyDescent="0.25">
      <c r="B16" s="442"/>
    </row>
    <row r="17" spans="2:2" ht="37.5" x14ac:dyDescent="0.25">
      <c r="B17" s="443" t="s">
        <v>3</v>
      </c>
    </row>
    <row r="18" spans="2:2" ht="18.75" x14ac:dyDescent="0.25">
      <c r="B18" s="443"/>
    </row>
    <row r="19" spans="2:2" ht="56.25" x14ac:dyDescent="0.25">
      <c r="B19" s="443" t="s">
        <v>4</v>
      </c>
    </row>
    <row r="20" spans="2:2" ht="18.75" x14ac:dyDescent="0.25">
      <c r="B20" s="443"/>
    </row>
    <row r="21" spans="2:2" ht="56.25" x14ac:dyDescent="0.25">
      <c r="B21" s="443" t="s">
        <v>5</v>
      </c>
    </row>
    <row r="22" spans="2:2" ht="56.25" x14ac:dyDescent="0.25">
      <c r="B22" s="443" t="s">
        <v>6</v>
      </c>
    </row>
    <row r="23" spans="2:2" ht="18.75" x14ac:dyDescent="0.25">
      <c r="B23" s="443" t="s">
        <v>7</v>
      </c>
    </row>
    <row r="24" spans="2:2" ht="18.75" x14ac:dyDescent="0.25">
      <c r="B24" s="443"/>
    </row>
    <row r="25" spans="2:2" ht="37.5" x14ac:dyDescent="0.25">
      <c r="B25" s="443" t="s">
        <v>8</v>
      </c>
    </row>
    <row r="26" spans="2:2" ht="56.25" x14ac:dyDescent="0.25">
      <c r="B26" s="443" t="s">
        <v>9</v>
      </c>
    </row>
    <row r="27" spans="2:2" ht="37.5" x14ac:dyDescent="0.25">
      <c r="B27" s="443" t="s">
        <v>10</v>
      </c>
    </row>
    <row r="28" spans="2:2" ht="75" x14ac:dyDescent="0.25">
      <c r="B28" s="443" t="s">
        <v>11</v>
      </c>
    </row>
    <row r="29" spans="2:2" ht="18.75" x14ac:dyDescent="0.25">
      <c r="B29" s="443"/>
    </row>
    <row r="30" spans="2:2" ht="18.75" x14ac:dyDescent="0.25">
      <c r="B30" s="443"/>
    </row>
    <row r="31" spans="2:2" ht="37.5" x14ac:dyDescent="0.25">
      <c r="B31" s="443" t="s">
        <v>12</v>
      </c>
    </row>
    <row r="32" spans="2:2" ht="75" x14ac:dyDescent="0.25">
      <c r="B32" s="443" t="s">
        <v>13</v>
      </c>
    </row>
    <row r="33" spans="2:2" ht="18.75" x14ac:dyDescent="0.25">
      <c r="B33" s="443"/>
    </row>
    <row r="34" spans="2:2" ht="5.45" customHeight="1" x14ac:dyDescent="0.25">
      <c r="B34" s="443"/>
    </row>
    <row r="35" spans="2:2" ht="93.75" x14ac:dyDescent="0.25">
      <c r="B35" s="445" t="s">
        <v>14</v>
      </c>
    </row>
    <row r="36" spans="2:2" ht="37.5" x14ac:dyDescent="0.25">
      <c r="B36" s="443" t="s">
        <v>15</v>
      </c>
    </row>
    <row r="37" spans="2:2" ht="18.75" x14ac:dyDescent="0.25">
      <c r="B37" s="443"/>
    </row>
    <row r="38" spans="2:2" ht="56.25" x14ac:dyDescent="0.25">
      <c r="B38" s="443" t="s">
        <v>16</v>
      </c>
    </row>
    <row r="39" spans="2:2" ht="18.75" x14ac:dyDescent="0.25">
      <c r="B39" s="443"/>
    </row>
    <row r="40" spans="2:2" ht="18.75" x14ac:dyDescent="0.25">
      <c r="B40" s="443"/>
    </row>
    <row r="41" spans="2:2" ht="37.5" x14ac:dyDescent="0.25">
      <c r="B41" s="443" t="s">
        <v>17</v>
      </c>
    </row>
    <row r="42" spans="2:2" ht="18.75" x14ac:dyDescent="0.25">
      <c r="B42" s="443"/>
    </row>
    <row r="43" spans="2:2" ht="18.75" x14ac:dyDescent="0.25">
      <c r="B43" s="443"/>
    </row>
    <row r="44" spans="2:2" ht="18.75" x14ac:dyDescent="0.25">
      <c r="B44" s="443"/>
    </row>
    <row r="45" spans="2:2" ht="18.75" x14ac:dyDescent="0.25">
      <c r="B45" s="443"/>
    </row>
    <row r="46" spans="2:2" ht="37.5" x14ac:dyDescent="0.25">
      <c r="B46" s="443" t="s">
        <v>18</v>
      </c>
    </row>
    <row r="47" spans="2:2" ht="18.75" x14ac:dyDescent="0.25">
      <c r="B47" s="443"/>
    </row>
    <row r="48" spans="2:2" ht="18.75" x14ac:dyDescent="0.25">
      <c r="B48" s="443"/>
    </row>
    <row r="49" spans="2:2" ht="18.75" x14ac:dyDescent="0.25">
      <c r="B49" s="443" t="s">
        <v>19</v>
      </c>
    </row>
    <row r="50" spans="2:2" ht="18.75" x14ac:dyDescent="0.25">
      <c r="B50" s="443"/>
    </row>
    <row r="51" spans="2:2" ht="18.75" x14ac:dyDescent="0.25">
      <c r="B51" s="443"/>
    </row>
    <row r="52" spans="2:2" ht="18.75" x14ac:dyDescent="0.25">
      <c r="B52" s="443"/>
    </row>
    <row r="53" spans="2:2" ht="18.75" x14ac:dyDescent="0.25">
      <c r="B53" s="443" t="s">
        <v>20</v>
      </c>
    </row>
    <row r="54" spans="2:2" ht="18.75" x14ac:dyDescent="0.25">
      <c r="B54" s="443"/>
    </row>
    <row r="55" spans="2:2" ht="18.75" x14ac:dyDescent="0.25">
      <c r="B55" s="443"/>
    </row>
    <row r="56" spans="2:2" ht="18.75" x14ac:dyDescent="0.25">
      <c r="B56" s="443"/>
    </row>
    <row r="57" spans="2:2" ht="18.75" x14ac:dyDescent="0.25">
      <c r="B57" s="443"/>
    </row>
    <row r="58" spans="2:2" ht="18.75" x14ac:dyDescent="0.25">
      <c r="B58" s="443"/>
    </row>
    <row r="59" spans="2:2" ht="18.75" x14ac:dyDescent="0.25">
      <c r="B59" s="443"/>
    </row>
    <row r="60" spans="2:2" ht="18.75" x14ac:dyDescent="0.25">
      <c r="B60" s="443"/>
    </row>
    <row r="61" spans="2:2" ht="18.75" x14ac:dyDescent="0.25">
      <c r="B61" s="443"/>
    </row>
    <row r="62" spans="2:2" ht="18.75" x14ac:dyDescent="0.25">
      <c r="B62" s="443"/>
    </row>
    <row r="63" spans="2:2" ht="18.75" x14ac:dyDescent="0.25">
      <c r="B63" s="443"/>
    </row>
    <row r="64" spans="2:2" ht="18.75" x14ac:dyDescent="0.25">
      <c r="B64" s="443"/>
    </row>
    <row r="65" spans="2:2" ht="18.75" x14ac:dyDescent="0.25">
      <c r="B65" s="443"/>
    </row>
    <row r="66" spans="2:2" ht="37.5" x14ac:dyDescent="0.25">
      <c r="B66" s="443" t="s">
        <v>21</v>
      </c>
    </row>
    <row r="67" spans="2:2" ht="18.75" x14ac:dyDescent="0.25">
      <c r="B67" s="443"/>
    </row>
    <row r="68" spans="2:2" ht="18.75" x14ac:dyDescent="0.25">
      <c r="B68" s="443"/>
    </row>
    <row r="69" spans="2:2" ht="18.75" x14ac:dyDescent="0.25">
      <c r="B69" s="443"/>
    </row>
    <row r="70" spans="2:2" ht="18.75" x14ac:dyDescent="0.25">
      <c r="B70" s="443"/>
    </row>
    <row r="71" spans="2:2" ht="18.75" x14ac:dyDescent="0.25">
      <c r="B71" s="443"/>
    </row>
    <row r="72" spans="2:2" ht="18.75" x14ac:dyDescent="0.25">
      <c r="B72" s="443"/>
    </row>
    <row r="73" spans="2:2" ht="18.75" x14ac:dyDescent="0.25">
      <c r="B73" s="443" t="s">
        <v>22</v>
      </c>
    </row>
    <row r="74" spans="2:2" ht="18.75" x14ac:dyDescent="0.25">
      <c r="B74" s="443"/>
    </row>
    <row r="75" spans="2:2" ht="18.75" x14ac:dyDescent="0.25">
      <c r="B75" s="443"/>
    </row>
    <row r="76" spans="2:2" ht="18.75" x14ac:dyDescent="0.25">
      <c r="B76" s="443"/>
    </row>
    <row r="77" spans="2:2" ht="56.25" x14ac:dyDescent="0.25">
      <c r="B77" s="443" t="s">
        <v>23</v>
      </c>
    </row>
    <row r="78" spans="2:2" ht="18.75" x14ac:dyDescent="0.25">
      <c r="B78" s="444"/>
    </row>
    <row r="79" spans="2:2" ht="15.75" x14ac:dyDescent="0.25">
      <c r="B79" s="440"/>
    </row>
    <row r="80" spans="2:2" ht="15.75" x14ac:dyDescent="0.25">
      <c r="B80" s="441"/>
    </row>
    <row r="8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3:K3"/>
  <sheetViews>
    <sheetView showGridLines="0" zoomScaleNormal="100" workbookViewId="0"/>
  </sheetViews>
  <sheetFormatPr baseColWidth="10" defaultColWidth="11.42578125" defaultRowHeight="15" x14ac:dyDescent="0.25"/>
  <sheetData>
    <row r="3" spans="2:11" x14ac:dyDescent="0.25">
      <c r="B3" s="1" t="s">
        <v>24</v>
      </c>
      <c r="E3" s="8" t="s">
        <v>25</v>
      </c>
      <c r="F3" s="4"/>
      <c r="G3" s="4"/>
      <c r="H3" s="4"/>
      <c r="I3" s="4"/>
      <c r="J3" s="4"/>
      <c r="K3" s="4"/>
    </row>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228600</xdr:colOff>
                <xdr:row>7</xdr:row>
                <xdr:rowOff>57150</xdr:rowOff>
              </from>
              <to>
                <xdr:col>17</xdr:col>
                <xdr:colOff>704850</xdr:colOff>
                <xdr:row>58</xdr:row>
                <xdr:rowOff>76200</xdr:rowOff>
              </to>
            </anchor>
          </objectPr>
        </oleObject>
      </mc:Choice>
      <mc:Fallback>
        <oleObject progId="Word.DocumentMacroEnabled.12" shapeId="7170"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L43"/>
  <sheetViews>
    <sheetView showGridLines="0" topLeftCell="A2" zoomScale="60" zoomScaleNormal="60" workbookViewId="0">
      <selection activeCell="D41" sqref="D41"/>
    </sheetView>
  </sheetViews>
  <sheetFormatPr baseColWidth="10" defaultColWidth="0" defaultRowHeight="15" zeroHeight="1" x14ac:dyDescent="0.25"/>
  <cols>
    <col min="1" max="1" width="3.28515625" customWidth="1"/>
    <col min="2" max="2" width="63.7109375" customWidth="1"/>
    <col min="3" max="3" width="19.7109375" customWidth="1"/>
    <col min="4" max="4" width="20.5703125" customWidth="1"/>
    <col min="5" max="5" width="24.140625" customWidth="1"/>
    <col min="6" max="6" width="26.7109375" customWidth="1"/>
    <col min="7" max="7" width="28.85546875" customWidth="1"/>
    <col min="8" max="8" width="28.42578125" customWidth="1"/>
    <col min="9" max="9" width="21.5703125" customWidth="1"/>
    <col min="10" max="10" width="3.28515625" customWidth="1"/>
    <col min="11" max="12" width="0" hidden="1" customWidth="1"/>
    <col min="13" max="16384" width="11.42578125" hidden="1"/>
  </cols>
  <sheetData>
    <row r="1" spans="2:12" x14ac:dyDescent="0.25"/>
    <row r="2" spans="2:12" x14ac:dyDescent="0.25"/>
    <row r="3" spans="2:12" x14ac:dyDescent="0.25"/>
    <row r="4" spans="2:12" x14ac:dyDescent="0.25"/>
    <row r="5" spans="2:12" x14ac:dyDescent="0.25"/>
    <row r="6" spans="2:12" x14ac:dyDescent="0.25"/>
    <row r="7" spans="2:12" x14ac:dyDescent="0.25"/>
    <row r="8" spans="2:12" x14ac:dyDescent="0.25"/>
    <row r="9" spans="2:12" x14ac:dyDescent="0.25"/>
    <row r="10" spans="2:12" ht="15.75" x14ac:dyDescent="0.25">
      <c r="B10" s="522" t="s">
        <v>26</v>
      </c>
      <c r="C10" s="522"/>
      <c r="D10" s="522"/>
      <c r="E10" s="522"/>
      <c r="F10" s="522"/>
      <c r="G10" s="522"/>
      <c r="H10" s="522"/>
      <c r="I10" s="469"/>
    </row>
    <row r="11" spans="2:12" ht="15.75" x14ac:dyDescent="0.25">
      <c r="B11" s="11"/>
      <c r="C11" s="483" t="s">
        <v>27</v>
      </c>
      <c r="D11" s="484" t="s">
        <v>28</v>
      </c>
      <c r="E11" s="484" t="s">
        <v>29</v>
      </c>
      <c r="F11" s="484" t="s">
        <v>30</v>
      </c>
      <c r="G11" s="484" t="s">
        <v>31</v>
      </c>
      <c r="H11" s="485" t="s">
        <v>32</v>
      </c>
      <c r="I11" s="484" t="s">
        <v>1237</v>
      </c>
    </row>
    <row r="12" spans="2:12" ht="15.75" x14ac:dyDescent="0.25">
      <c r="B12" s="14" t="s">
        <v>33</v>
      </c>
      <c r="C12" s="92"/>
      <c r="D12" s="15">
        <v>1.95E-2</v>
      </c>
      <c r="E12" s="15">
        <v>1.95E-2</v>
      </c>
      <c r="F12" s="15">
        <v>1.95E-2</v>
      </c>
      <c r="G12" s="15">
        <v>1.95E-2</v>
      </c>
      <c r="H12" s="16">
        <v>1.95E-2</v>
      </c>
      <c r="I12" s="470" t="s">
        <v>1232</v>
      </c>
    </row>
    <row r="13" spans="2:12" ht="15.75" x14ac:dyDescent="0.25">
      <c r="B13" s="14" t="s">
        <v>34</v>
      </c>
      <c r="C13" s="92"/>
      <c r="D13" s="15">
        <v>-0.11600000000000001</v>
      </c>
      <c r="E13" s="15">
        <v>-0.11600000000000001</v>
      </c>
      <c r="F13" s="15">
        <v>-0.11600000000000001</v>
      </c>
      <c r="G13" s="15">
        <v>-0.11600000000000001</v>
      </c>
      <c r="H13" s="16">
        <v>-0.11600000000000001</v>
      </c>
      <c r="I13" s="471" t="s">
        <v>1233</v>
      </c>
      <c r="L13" s="3"/>
    </row>
    <row r="14" spans="2:12" ht="15.75" x14ac:dyDescent="0.25">
      <c r="B14" s="14" t="s">
        <v>35</v>
      </c>
      <c r="C14" s="92"/>
      <c r="D14" s="15">
        <v>1.12E-2</v>
      </c>
      <c r="E14" s="15">
        <v>1.12E-2</v>
      </c>
      <c r="F14" s="15">
        <v>1.12E-2</v>
      </c>
      <c r="G14" s="15">
        <v>1.12E-2</v>
      </c>
      <c r="H14" s="16">
        <v>1.12E-2</v>
      </c>
      <c r="I14" s="472" t="s">
        <v>1234</v>
      </c>
    </row>
    <row r="15" spans="2:12" ht="15.75" x14ac:dyDescent="0.25">
      <c r="B15" s="14" t="s">
        <v>36</v>
      </c>
      <c r="C15" s="92"/>
      <c r="D15" s="16">
        <v>1.9E-2</v>
      </c>
      <c r="E15" s="16">
        <v>1.9E-2</v>
      </c>
      <c r="F15" s="16">
        <v>1.9E-2</v>
      </c>
      <c r="G15" s="16">
        <v>1.9E-2</v>
      </c>
      <c r="H15" s="16">
        <v>1.9E-2</v>
      </c>
      <c r="I15" s="471" t="s">
        <v>1235</v>
      </c>
    </row>
    <row r="16" spans="2:12" ht="15.75" x14ac:dyDescent="0.25">
      <c r="B16" s="14" t="s">
        <v>37</v>
      </c>
      <c r="C16" s="92"/>
      <c r="D16" s="490">
        <f>4/1000</f>
        <v>4.0000000000000001E-3</v>
      </c>
      <c r="E16" s="490">
        <f t="shared" ref="E16:H16" si="0">4/1000</f>
        <v>4.0000000000000001E-3</v>
      </c>
      <c r="F16" s="490">
        <f t="shared" si="0"/>
        <v>4.0000000000000001E-3</v>
      </c>
      <c r="G16" s="490">
        <f t="shared" si="0"/>
        <v>4.0000000000000001E-3</v>
      </c>
      <c r="H16" s="490">
        <f t="shared" si="0"/>
        <v>4.0000000000000001E-3</v>
      </c>
      <c r="I16" s="471" t="s">
        <v>1235</v>
      </c>
    </row>
    <row r="17" spans="2:11" ht="15.75" x14ac:dyDescent="0.25">
      <c r="B17" s="14" t="s">
        <v>38</v>
      </c>
      <c r="C17" s="92"/>
      <c r="D17" s="16">
        <v>0.35</v>
      </c>
      <c r="E17" s="16">
        <v>0.35</v>
      </c>
      <c r="F17" s="16">
        <v>0.35</v>
      </c>
      <c r="G17" s="16">
        <v>0.35</v>
      </c>
      <c r="H17" s="16">
        <v>0.35</v>
      </c>
      <c r="I17" s="471" t="s">
        <v>1235</v>
      </c>
    </row>
    <row r="18" spans="2:11" ht="15.75" x14ac:dyDescent="0.25">
      <c r="B18" s="10"/>
      <c r="C18" s="10"/>
      <c r="D18" s="10"/>
      <c r="E18" s="10"/>
      <c r="F18" s="10"/>
      <c r="G18" s="10"/>
      <c r="H18" s="10"/>
    </row>
    <row r="19" spans="2:11" ht="16.5" thickBot="1" x14ac:dyDescent="0.3">
      <c r="B19" s="10"/>
      <c r="C19" s="10"/>
      <c r="D19" s="10"/>
      <c r="E19" s="10"/>
      <c r="F19" s="10"/>
      <c r="G19" s="10"/>
      <c r="H19" s="10"/>
    </row>
    <row r="20" spans="2:11" ht="16.5" thickBot="1" x14ac:dyDescent="0.3">
      <c r="B20" s="474" t="s">
        <v>39</v>
      </c>
      <c r="C20" s="475"/>
      <c r="D20" s="10"/>
      <c r="E20" s="534" t="s">
        <v>40</v>
      </c>
      <c r="F20" s="535"/>
      <c r="G20" s="536"/>
      <c r="H20" s="27">
        <v>6.0000000000000001E-3</v>
      </c>
      <c r="K20" s="5"/>
    </row>
    <row r="21" spans="2:11" ht="16.5" thickBot="1" x14ac:dyDescent="0.3">
      <c r="B21" s="480" t="s">
        <v>41</v>
      </c>
      <c r="C21" s="12"/>
      <c r="D21" s="10"/>
      <c r="E21" s="10"/>
      <c r="F21" s="10"/>
      <c r="G21" s="10"/>
      <c r="H21" s="10"/>
    </row>
    <row r="22" spans="2:11" ht="15.75" x14ac:dyDescent="0.25">
      <c r="B22" s="17" t="s">
        <v>42</v>
      </c>
      <c r="C22" s="18">
        <v>8.3299999999999999E-2</v>
      </c>
      <c r="D22" s="10"/>
    </row>
    <row r="23" spans="2:11" ht="16.5" thickBot="1" x14ac:dyDescent="0.3">
      <c r="B23" s="19" t="s">
        <v>43</v>
      </c>
      <c r="C23" s="18">
        <v>8.3299999999999999E-2</v>
      </c>
      <c r="D23" s="10"/>
      <c r="E23" s="10"/>
      <c r="F23" s="10"/>
      <c r="G23" s="10"/>
      <c r="H23" s="10"/>
    </row>
    <row r="24" spans="2:11" ht="16.5" thickBot="1" x14ac:dyDescent="0.3">
      <c r="B24" s="19" t="s">
        <v>44</v>
      </c>
      <c r="C24" s="18">
        <v>4.1700000000000001E-2</v>
      </c>
      <c r="D24" s="10"/>
      <c r="E24" s="534" t="s">
        <v>45</v>
      </c>
      <c r="F24" s="535"/>
      <c r="G24" s="536"/>
      <c r="H24" s="27">
        <v>0.38</v>
      </c>
    </row>
    <row r="25" spans="2:11" ht="16.5" thickBot="1" x14ac:dyDescent="0.3">
      <c r="B25" s="19" t="s">
        <v>46</v>
      </c>
      <c r="C25" s="18">
        <v>0.12</v>
      </c>
      <c r="D25" s="10"/>
      <c r="E25" s="10"/>
      <c r="F25" s="10"/>
      <c r="G25" s="10"/>
      <c r="H25" s="10"/>
    </row>
    <row r="26" spans="2:11" ht="16.5" thickBot="1" x14ac:dyDescent="0.3">
      <c r="B26" s="20" t="s">
        <v>47</v>
      </c>
      <c r="C26" s="21">
        <f>SUM(C22:C25)</f>
        <v>0.32829999999999998</v>
      </c>
      <c r="D26" s="10"/>
      <c r="E26" s="523" t="s">
        <v>48</v>
      </c>
      <c r="F26" s="524"/>
      <c r="G26" s="525"/>
      <c r="H26" s="10"/>
    </row>
    <row r="27" spans="2:11" ht="16.5" thickBot="1" x14ac:dyDescent="0.3">
      <c r="B27" s="481" t="s">
        <v>49</v>
      </c>
      <c r="C27" s="12"/>
      <c r="D27" s="10"/>
      <c r="E27" s="528" t="s">
        <v>50</v>
      </c>
      <c r="F27" s="529"/>
      <c r="G27" s="28" t="s">
        <v>51</v>
      </c>
      <c r="H27" s="10"/>
    </row>
    <row r="28" spans="2:11" ht="15.75" x14ac:dyDescent="0.25">
      <c r="B28" s="17" t="s">
        <v>52</v>
      </c>
      <c r="C28" s="18">
        <v>0.02</v>
      </c>
      <c r="D28" s="10"/>
      <c r="E28" s="528" t="s">
        <v>53</v>
      </c>
      <c r="F28" s="529"/>
      <c r="G28" s="29">
        <v>5</v>
      </c>
      <c r="H28" s="10"/>
    </row>
    <row r="29" spans="2:11" ht="16.5" thickBot="1" x14ac:dyDescent="0.3">
      <c r="B29" s="19" t="s">
        <v>54</v>
      </c>
      <c r="C29" s="18">
        <v>0.04</v>
      </c>
      <c r="D29" s="10"/>
      <c r="E29" s="532" t="s">
        <v>55</v>
      </c>
      <c r="F29" s="533"/>
      <c r="G29" s="30">
        <v>0</v>
      </c>
      <c r="H29" s="10"/>
    </row>
    <row r="30" spans="2:11" ht="15.75" x14ac:dyDescent="0.25">
      <c r="B30" s="19" t="s">
        <v>56</v>
      </c>
      <c r="C30" s="18">
        <v>0.02</v>
      </c>
      <c r="D30" s="10"/>
      <c r="E30" s="10"/>
      <c r="F30" s="10"/>
      <c r="G30" s="10"/>
      <c r="H30" s="10"/>
    </row>
    <row r="31" spans="2:11" ht="15.75" x14ac:dyDescent="0.25">
      <c r="B31" s="22" t="s">
        <v>57</v>
      </c>
      <c r="C31" s="23">
        <f>SUM(C28:C30)</f>
        <v>0.08</v>
      </c>
      <c r="D31" s="10"/>
      <c r="E31" s="10"/>
      <c r="F31" s="10"/>
      <c r="G31" s="10"/>
      <c r="H31" s="10"/>
    </row>
    <row r="32" spans="2:11" ht="16.5" thickBot="1" x14ac:dyDescent="0.3">
      <c r="B32" s="482" t="s">
        <v>58</v>
      </c>
      <c r="C32" s="13"/>
      <c r="D32" s="10"/>
      <c r="E32" s="10"/>
      <c r="F32" s="10"/>
      <c r="G32" s="10"/>
      <c r="H32" s="10"/>
    </row>
    <row r="33" spans="2:8" ht="15.75" x14ac:dyDescent="0.25">
      <c r="B33" s="19" t="s">
        <v>59</v>
      </c>
      <c r="C33" s="24">
        <v>0.12</v>
      </c>
      <c r="D33" s="10"/>
      <c r="E33" s="523" t="s">
        <v>60</v>
      </c>
      <c r="F33" s="524"/>
      <c r="G33" s="524"/>
      <c r="H33" s="525"/>
    </row>
    <row r="34" spans="2:8" ht="15.75" x14ac:dyDescent="0.25">
      <c r="B34" s="19" t="s">
        <v>61</v>
      </c>
      <c r="C34" s="25">
        <v>8.5000000000000006E-2</v>
      </c>
      <c r="D34" s="10"/>
      <c r="E34" s="528" t="s">
        <v>62</v>
      </c>
      <c r="F34" s="529"/>
      <c r="G34" s="31">
        <v>20</v>
      </c>
      <c r="H34" s="476" t="s">
        <v>63</v>
      </c>
    </row>
    <row r="35" spans="2:8" ht="15.75" x14ac:dyDescent="0.25">
      <c r="B35" s="19" t="s">
        <v>64</v>
      </c>
      <c r="C35" s="25">
        <v>5.2199999999999998E-3</v>
      </c>
      <c r="D35" s="10"/>
      <c r="E35" s="528" t="s">
        <v>65</v>
      </c>
      <c r="F35" s="529"/>
      <c r="G35" s="31">
        <v>10</v>
      </c>
      <c r="H35" s="476" t="str">
        <f t="shared" ref="H35:H40" si="1">+H34</f>
        <v>DEPRECIAICIÓN</v>
      </c>
    </row>
    <row r="36" spans="2:8" ht="15.75" x14ac:dyDescent="0.25">
      <c r="B36" s="22" t="s">
        <v>66</v>
      </c>
      <c r="C36" s="26">
        <f>SUM(C33:C35)</f>
        <v>0.21022000000000002</v>
      </c>
      <c r="D36" s="10"/>
      <c r="E36" s="528" t="s">
        <v>67</v>
      </c>
      <c r="F36" s="529"/>
      <c r="G36" s="31">
        <v>5</v>
      </c>
      <c r="H36" s="476" t="str">
        <f t="shared" si="1"/>
        <v>DEPRECIAICIÓN</v>
      </c>
    </row>
    <row r="37" spans="2:8" ht="15.75" x14ac:dyDescent="0.25">
      <c r="B37" s="20" t="s">
        <v>68</v>
      </c>
      <c r="C37" s="473">
        <f>SUM(C26,C31,C36)</f>
        <v>0.61851999999999996</v>
      </c>
      <c r="D37" s="10"/>
      <c r="E37" s="528" t="s">
        <v>69</v>
      </c>
      <c r="F37" s="529"/>
      <c r="G37" s="31">
        <v>5</v>
      </c>
      <c r="H37" s="476" t="str">
        <f t="shared" si="1"/>
        <v>DEPRECIAICIÓN</v>
      </c>
    </row>
    <row r="38" spans="2:8" ht="31.5" x14ac:dyDescent="0.25">
      <c r="B38" s="491" t="s">
        <v>70</v>
      </c>
      <c r="C38" s="494" t="s">
        <v>1236</v>
      </c>
      <c r="D38" s="10"/>
      <c r="E38" s="530" t="s">
        <v>71</v>
      </c>
      <c r="F38" s="531"/>
      <c r="G38" s="492">
        <v>3</v>
      </c>
      <c r="H38" s="493" t="str">
        <f t="shared" si="1"/>
        <v>DEPRECIAICIÓN</v>
      </c>
    </row>
    <row r="39" spans="2:8" ht="15.75" x14ac:dyDescent="0.25">
      <c r="C39" s="10"/>
      <c r="D39" s="10"/>
      <c r="E39" s="19" t="s">
        <v>72</v>
      </c>
      <c r="F39" s="32"/>
      <c r="G39" s="31">
        <v>1</v>
      </c>
      <c r="H39" s="476" t="str">
        <f t="shared" si="1"/>
        <v>DEPRECIAICIÓN</v>
      </c>
    </row>
    <row r="40" spans="2:8" ht="16.5" thickBot="1" x14ac:dyDescent="0.3">
      <c r="B40" s="10"/>
      <c r="C40" s="10"/>
      <c r="D40" s="10"/>
      <c r="E40" s="33" t="s">
        <v>73</v>
      </c>
      <c r="F40" s="34"/>
      <c r="G40" s="35">
        <v>10</v>
      </c>
      <c r="H40" s="477" t="str">
        <f t="shared" si="1"/>
        <v>DEPRECIAICIÓN</v>
      </c>
    </row>
    <row r="41" spans="2:8" ht="16.5" thickBot="1" x14ac:dyDescent="0.3">
      <c r="B41" s="10"/>
      <c r="C41" s="10"/>
      <c r="D41" s="10"/>
      <c r="E41" s="10"/>
      <c r="F41" s="10"/>
      <c r="G41" s="10"/>
      <c r="H41" s="479"/>
    </row>
    <row r="42" spans="2:8" ht="16.5" thickBot="1" x14ac:dyDescent="0.3">
      <c r="B42" s="10"/>
      <c r="C42" s="10"/>
      <c r="D42" s="10"/>
      <c r="E42" s="526" t="s">
        <v>74</v>
      </c>
      <c r="F42" s="527"/>
      <c r="G42" s="36">
        <v>5</v>
      </c>
      <c r="H42" s="478" t="s">
        <v>75</v>
      </c>
    </row>
    <row r="43" spans="2:8" ht="15.75" x14ac:dyDescent="0.25">
      <c r="B43" s="9"/>
      <c r="C43" s="9"/>
      <c r="D43" s="9"/>
      <c r="E43" s="9"/>
      <c r="F43" s="9"/>
      <c r="G43" s="9"/>
      <c r="H43" s="9"/>
    </row>
  </sheetData>
  <mergeCells count="14">
    <mergeCell ref="B10:H10"/>
    <mergeCell ref="E33:H33"/>
    <mergeCell ref="E42:F42"/>
    <mergeCell ref="E34:F34"/>
    <mergeCell ref="E35:F35"/>
    <mergeCell ref="E36:F36"/>
    <mergeCell ref="E37:F37"/>
    <mergeCell ref="E38:F38"/>
    <mergeCell ref="E28:F28"/>
    <mergeCell ref="E29:F29"/>
    <mergeCell ref="E20:G20"/>
    <mergeCell ref="E24:G24"/>
    <mergeCell ref="E26:G26"/>
    <mergeCell ref="E27:F27"/>
  </mergeCells>
  <hyperlinks>
    <hyperlink ref="I12" r:id="rId1" xr:uid="{00000000-0004-0000-0300-000000000000}"/>
    <hyperlink ref="I13" r:id="rId2" xr:uid="{00000000-0004-0000-0300-000001000000}"/>
    <hyperlink ref="I14" r:id="rId3" xr:uid="{00000000-0004-0000-0300-000002000000}"/>
    <hyperlink ref="I15" r:id="rId4" xr:uid="{00000000-0004-0000-0300-000003000000}"/>
    <hyperlink ref="I16" r:id="rId5" xr:uid="{00000000-0004-0000-0300-000004000000}"/>
    <hyperlink ref="I17" r:id="rId6" xr:uid="{00000000-0004-0000-0300-000005000000}"/>
    <hyperlink ref="C38" r:id="rId7" xr:uid="{00000000-0004-0000-0300-000006000000}"/>
  </hyperlinks>
  <pageMargins left="0.7" right="0.7" top="0.75" bottom="0.75" header="0.3" footer="0.3"/>
  <pageSetup orientation="portrait" r:id="rId8"/>
  <drawing r:id="rId9"/>
  <legacyDrawing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7"/>
  <dimension ref="B2:V28"/>
  <sheetViews>
    <sheetView showGridLines="0" tabSelected="1" zoomScale="70" zoomScaleNormal="70" workbookViewId="0"/>
  </sheetViews>
  <sheetFormatPr baseColWidth="10" defaultColWidth="11.42578125" defaultRowHeight="15" x14ac:dyDescent="0.25"/>
  <cols>
    <col min="1" max="1" width="11.42578125" style="2"/>
    <col min="2" max="2" width="65.7109375" style="2" customWidth="1"/>
    <col min="3" max="3" width="49.7109375" style="2" bestFit="1" customWidth="1"/>
    <col min="4" max="4" width="40.85546875" style="2" bestFit="1" customWidth="1"/>
    <col min="5" max="6" width="40.85546875" style="2" customWidth="1"/>
    <col min="7" max="7" width="40.85546875" style="2" bestFit="1" customWidth="1"/>
    <col min="8" max="8" width="33.85546875" style="2" bestFit="1" customWidth="1"/>
    <col min="9" max="9" width="29.28515625" style="2" bestFit="1" customWidth="1"/>
    <col min="10" max="10" width="68.5703125" style="2" customWidth="1"/>
    <col min="11" max="11" width="41" style="2" customWidth="1"/>
    <col min="12" max="12" width="33.85546875" style="2" bestFit="1" customWidth="1"/>
    <col min="13" max="13" width="29.28515625" style="2" bestFit="1" customWidth="1"/>
    <col min="14" max="14" width="68.42578125" style="2" bestFit="1" customWidth="1"/>
    <col min="15" max="15" width="40.85546875" style="2" bestFit="1" customWidth="1"/>
    <col min="16" max="16" width="33.85546875" style="2" bestFit="1" customWidth="1"/>
    <col min="17" max="17" width="29.28515625" style="2" bestFit="1" customWidth="1"/>
    <col min="18" max="18" width="68.42578125" style="2" bestFit="1" customWidth="1"/>
    <col min="19" max="19" width="40.85546875" style="2" bestFit="1" customWidth="1"/>
    <col min="20" max="20" width="33.85546875" style="2" bestFit="1" customWidth="1"/>
    <col min="21" max="21" width="29.28515625" style="2" bestFit="1" customWidth="1"/>
    <col min="22" max="22" width="68.42578125" style="2" bestFit="1" customWidth="1"/>
    <col min="23" max="23" width="28.5703125" style="2" bestFit="1" customWidth="1"/>
    <col min="24" max="25" width="17.140625" style="2" bestFit="1" customWidth="1"/>
    <col min="26" max="26" width="16.5703125" style="2" customWidth="1"/>
    <col min="27" max="28" width="17.140625" style="2" bestFit="1" customWidth="1"/>
    <col min="29" max="29" width="11.42578125" style="2"/>
    <col min="30" max="30" width="16.28515625" style="2" customWidth="1"/>
    <col min="31" max="31" width="17.140625" style="2" bestFit="1" customWidth="1"/>
    <col min="32" max="33" width="11.42578125" style="2"/>
    <col min="34" max="34" width="17.85546875" style="2" customWidth="1"/>
    <col min="35" max="35" width="17.140625" style="2" bestFit="1" customWidth="1"/>
    <col min="36" max="37" width="11.28515625" style="2" bestFit="1" customWidth="1"/>
    <col min="38" max="38" width="28.5703125" style="2" bestFit="1" customWidth="1"/>
    <col min="39" max="16384" width="11.42578125" style="2"/>
  </cols>
  <sheetData>
    <row r="2" spans="2:22" x14ac:dyDescent="0.25">
      <c r="B2"/>
      <c r="C2"/>
    </row>
    <row r="3" spans="2:22" ht="15.75" x14ac:dyDescent="0.25">
      <c r="B3" s="448"/>
      <c r="C3" s="449"/>
    </row>
    <row r="4" spans="2:22" ht="15.75" x14ac:dyDescent="0.25">
      <c r="B4" s="448"/>
      <c r="C4" s="449"/>
    </row>
    <row r="5" spans="2:22" ht="15.75" x14ac:dyDescent="0.25">
      <c r="B5" s="448"/>
      <c r="C5" s="449"/>
    </row>
    <row r="6" spans="2:22" ht="15.75" x14ac:dyDescent="0.25">
      <c r="B6" s="448"/>
      <c r="C6" s="449"/>
    </row>
    <row r="7" spans="2:22" ht="16.5" thickBot="1" x14ac:dyDescent="0.3">
      <c r="B7" s="10"/>
      <c r="C7" s="98"/>
    </row>
    <row r="8" spans="2:22" ht="15.75" customHeight="1" x14ac:dyDescent="0.25">
      <c r="B8" s="552" t="s">
        <v>76</v>
      </c>
      <c r="C8" s="553"/>
      <c r="D8" s="553"/>
      <c r="E8" s="553"/>
      <c r="F8" s="553"/>
      <c r="G8" s="553"/>
      <c r="H8" s="553"/>
      <c r="I8" s="553"/>
      <c r="J8" s="553"/>
      <c r="K8" s="553"/>
      <c r="L8" s="553"/>
      <c r="M8" s="553"/>
      <c r="N8" s="553"/>
      <c r="O8" s="553"/>
      <c r="P8" s="553"/>
      <c r="Q8" s="553"/>
      <c r="R8" s="553"/>
      <c r="S8" s="553"/>
      <c r="T8" s="553"/>
      <c r="U8" s="553"/>
      <c r="V8" s="554"/>
    </row>
    <row r="9" spans="2:22" ht="15.75" customHeight="1" thickBot="1" x14ac:dyDescent="0.3">
      <c r="B9" s="555"/>
      <c r="C9" s="556"/>
      <c r="D9" s="556"/>
      <c r="E9" s="556"/>
      <c r="F9" s="556"/>
      <c r="G9" s="556"/>
      <c r="H9" s="556"/>
      <c r="I9" s="556"/>
      <c r="J9" s="556"/>
      <c r="K9" s="556"/>
      <c r="L9" s="556"/>
      <c r="M9" s="556"/>
      <c r="N9" s="556"/>
      <c r="O9" s="556"/>
      <c r="P9" s="556"/>
      <c r="Q9" s="556"/>
      <c r="R9" s="556"/>
      <c r="S9" s="556"/>
      <c r="T9" s="556"/>
      <c r="U9" s="556"/>
      <c r="V9" s="557"/>
    </row>
    <row r="10" spans="2:22" ht="15.75" thickBot="1" x14ac:dyDescent="0.3"/>
    <row r="11" spans="2:22" ht="15.75" customHeight="1" x14ac:dyDescent="0.25">
      <c r="B11" s="539" t="s">
        <v>77</v>
      </c>
      <c r="C11" s="40" t="str">
        <f>BASES!D11</f>
        <v>AÑO 1</v>
      </c>
      <c r="D11" s="37">
        <v>0.19</v>
      </c>
      <c r="E11" s="542" t="s">
        <v>78</v>
      </c>
      <c r="F11" s="40" t="str">
        <f>BASES!D11</f>
        <v>AÑO 1</v>
      </c>
      <c r="G11" s="41"/>
    </row>
    <row r="12" spans="2:22" ht="15.75" x14ac:dyDescent="0.25">
      <c r="B12" s="540"/>
      <c r="C12" s="40" t="str">
        <f>BASES!E11</f>
        <v>AÑO 2</v>
      </c>
      <c r="D12" s="37">
        <v>0.19</v>
      </c>
      <c r="E12" s="543"/>
      <c r="F12" s="40" t="str">
        <f>BASES!E11</f>
        <v>AÑO 2</v>
      </c>
      <c r="G12" s="42">
        <f>BASES!E12</f>
        <v>1.95E-2</v>
      </c>
    </row>
    <row r="13" spans="2:22" ht="15.75" x14ac:dyDescent="0.25">
      <c r="B13" s="540"/>
      <c r="C13" s="40" t="str">
        <f>BASES!F11</f>
        <v>AÑO 3</v>
      </c>
      <c r="D13" s="37">
        <v>0.19</v>
      </c>
      <c r="E13" s="543"/>
      <c r="F13" s="40" t="str">
        <f>BASES!F11</f>
        <v>AÑO 3</v>
      </c>
      <c r="G13" s="42">
        <f>BASES!F12</f>
        <v>1.95E-2</v>
      </c>
    </row>
    <row r="14" spans="2:22" ht="15.75" x14ac:dyDescent="0.25">
      <c r="B14" s="540"/>
      <c r="C14" s="40" t="str">
        <f>BASES!G11</f>
        <v>AÑO 4</v>
      </c>
      <c r="D14" s="37">
        <v>0.19</v>
      </c>
      <c r="E14" s="543"/>
      <c r="F14" s="40" t="str">
        <f>BASES!G11</f>
        <v>AÑO 4</v>
      </c>
      <c r="G14" s="42">
        <f>BASES!G12</f>
        <v>1.95E-2</v>
      </c>
    </row>
    <row r="15" spans="2:22" ht="16.5" thickBot="1" x14ac:dyDescent="0.3">
      <c r="B15" s="541"/>
      <c r="C15" s="40" t="str">
        <f>BASES!H11</f>
        <v>AÑO 5</v>
      </c>
      <c r="D15" s="37">
        <v>0.19</v>
      </c>
      <c r="E15" s="544"/>
      <c r="F15" s="40" t="str">
        <f>BASES!H11</f>
        <v>AÑO 5</v>
      </c>
      <c r="G15" s="42">
        <f>BASES!H12</f>
        <v>1.95E-2</v>
      </c>
    </row>
    <row r="20" spans="2:22" ht="15.75" thickBot="1" x14ac:dyDescent="0.3"/>
    <row r="21" spans="2:22" ht="16.5" thickBot="1" x14ac:dyDescent="0.3">
      <c r="C21" s="49" t="s">
        <v>79</v>
      </c>
      <c r="D21" s="545" t="str">
        <f>BASES!D11</f>
        <v>AÑO 1</v>
      </c>
      <c r="E21" s="546"/>
      <c r="F21" s="546"/>
      <c r="G21" s="545" t="str">
        <f>BASES!E11</f>
        <v>AÑO 2</v>
      </c>
      <c r="H21" s="546"/>
      <c r="I21" s="546"/>
      <c r="J21" s="546"/>
      <c r="K21" s="545" t="str">
        <f>BASES!F11</f>
        <v>AÑO 3</v>
      </c>
      <c r="L21" s="546"/>
      <c r="M21" s="546"/>
      <c r="N21" s="546"/>
      <c r="O21" s="545" t="str">
        <f>BASES!G11</f>
        <v>AÑO 4</v>
      </c>
      <c r="P21" s="546"/>
      <c r="Q21" s="546"/>
      <c r="R21" s="546"/>
      <c r="S21" s="545" t="str">
        <f>BASES!H11</f>
        <v>AÑO 5</v>
      </c>
      <c r="T21" s="546"/>
      <c r="U21" s="546"/>
      <c r="V21" s="546"/>
    </row>
    <row r="22" spans="2:22" ht="16.5" thickBot="1" x14ac:dyDescent="0.3">
      <c r="B22" s="38"/>
      <c r="C22" s="45" t="s">
        <v>80</v>
      </c>
      <c r="D22" s="547" t="s">
        <v>81</v>
      </c>
      <c r="E22" s="548"/>
      <c r="F22" s="548"/>
      <c r="G22" s="549">
        <v>0.01</v>
      </c>
      <c r="H22" s="550"/>
      <c r="I22" s="550"/>
      <c r="J22" s="551"/>
      <c r="K22" s="549">
        <v>0.02</v>
      </c>
      <c r="L22" s="550"/>
      <c r="M22" s="550"/>
      <c r="N22" s="551"/>
      <c r="O22" s="549">
        <v>0.03</v>
      </c>
      <c r="P22" s="550"/>
      <c r="Q22" s="550"/>
      <c r="R22" s="551"/>
      <c r="S22" s="558">
        <v>0.04</v>
      </c>
      <c r="T22" s="558"/>
      <c r="U22" s="558"/>
      <c r="V22" s="558"/>
    </row>
    <row r="23" spans="2:22" ht="15.75" x14ac:dyDescent="0.25">
      <c r="B23" s="39" t="s">
        <v>82</v>
      </c>
      <c r="C23" s="10" t="s">
        <v>83</v>
      </c>
      <c r="D23" s="10" t="s">
        <v>84</v>
      </c>
      <c r="E23" s="10" t="s">
        <v>85</v>
      </c>
      <c r="F23" s="10" t="s">
        <v>86</v>
      </c>
      <c r="G23" s="10" t="s">
        <v>87</v>
      </c>
      <c r="H23" s="10" t="s">
        <v>88</v>
      </c>
      <c r="I23" s="10" t="s">
        <v>89</v>
      </c>
      <c r="J23" s="10" t="s">
        <v>90</v>
      </c>
      <c r="K23" s="10" t="s">
        <v>91</v>
      </c>
      <c r="L23" s="10" t="s">
        <v>92</v>
      </c>
      <c r="M23" s="10" t="s">
        <v>93</v>
      </c>
      <c r="N23" s="10" t="s">
        <v>94</v>
      </c>
      <c r="O23" s="10" t="s">
        <v>95</v>
      </c>
      <c r="P23" s="10" t="s">
        <v>96</v>
      </c>
      <c r="Q23" s="10" t="s">
        <v>97</v>
      </c>
      <c r="R23" s="10" t="s">
        <v>98</v>
      </c>
      <c r="S23" s="10" t="s">
        <v>99</v>
      </c>
      <c r="T23" s="10" t="s">
        <v>100</v>
      </c>
      <c r="U23" s="10" t="s">
        <v>101</v>
      </c>
      <c r="V23" s="10" t="s">
        <v>102</v>
      </c>
    </row>
    <row r="24" spans="2:22" ht="15.75" x14ac:dyDescent="0.25">
      <c r="B24" s="513"/>
      <c r="C24" s="39"/>
      <c r="D24" s="39"/>
      <c r="E24" s="65"/>
      <c r="F24" s="43">
        <f>Tabla3[[#This Row],[UNIDADES PRODUCIDAS AÑO 1]]*Tabla3[[#This Row],[PRECIO DE VENTA AÑO 1]]</f>
        <v>0</v>
      </c>
      <c r="G24" s="39"/>
      <c r="H24" s="43">
        <f>ROUND((Tabla3[[#This Row],[PRECIO DE VENTA AÑO 1]]*(1+$G$12)),0)</f>
        <v>0</v>
      </c>
      <c r="I24" s="43">
        <f>Tabla3[[#This Row],[UNIDADES PRODUCIDAS AÑO 2]]*Tabla3[[#This Row],[PRECIO DE VENTA AÑO 2]]</f>
        <v>0</v>
      </c>
      <c r="J24" s="48">
        <f>IF(Tabla3[[#This Row],[UNIDADES PRODUCIDAS AÑO 1]]=0,0,(Tabla3[[#This Row],[UNIDADES PRODUCIDAS AÑO 2]]-Tabla3[[#This Row],[UNIDADES PRODUCIDAS AÑO 1]])/Tabla3[[#This Row],[UNIDADES PRODUCIDAS AÑO 1]])</f>
        <v>0</v>
      </c>
      <c r="K24" s="39"/>
      <c r="L24" s="43">
        <f>ROUND((Tabla3[[#This Row],[PRECIO DE VENTA AÑO 2]]*(1+$G$13)),0)</f>
        <v>0</v>
      </c>
      <c r="M24" s="43">
        <f>Tabla3[[#This Row],[UNIDADES PRODUCIDAS AÑO 3]]*Tabla3[[#This Row],[PRECIO DE VENTA AÑO 3]]</f>
        <v>0</v>
      </c>
      <c r="N24" s="48">
        <f>IF(Tabla3[[#This Row],[UNIDADES PRODUCIDAS AÑO 2]]=0,0,(Tabla3[[#This Row],[UNIDADES PRODUCIDAS AÑO 3]]-Tabla3[[#This Row],[UNIDADES PRODUCIDAS AÑO 2]])/Tabla3[[#This Row],[UNIDADES PRODUCIDAS AÑO 2]])</f>
        <v>0</v>
      </c>
      <c r="O24" s="39"/>
      <c r="P24" s="43">
        <f>ROUND((Tabla3[[#This Row],[PRECIO DE VENTA AÑO 3]]*(1+$G$14)),0)</f>
        <v>0</v>
      </c>
      <c r="Q24" s="43">
        <f>Tabla3[[#This Row],[UNIDADES PRODUCIDAS AÑO 4]]*Tabla3[[#This Row],[PRECIO DE VENTA AÑO 4]]</f>
        <v>0</v>
      </c>
      <c r="R24" s="47">
        <f>IF(Tabla3[[#This Row],[UNIDADES PRODUCIDAS AÑO 3]]=0,0,(Tabla3[[#This Row],[UNIDADES PRODUCIDAS AÑO 4]]-Tabla3[[#This Row],[UNIDADES PRODUCIDAS AÑO 3]])/Tabla3[[#This Row],[UNIDADES PRODUCIDAS AÑO 3]])</f>
        <v>0</v>
      </c>
      <c r="S24" s="39"/>
      <c r="T24" s="43">
        <f>ROUND((Tabla3[[#This Row],[PRECIO DE VENTA AÑO 4]]*(1+$G$15)),0)</f>
        <v>0</v>
      </c>
      <c r="U24" s="43">
        <f>Tabla3[[#This Row],[UNIDADES PRODUCIDAS AÑO 5]]*Tabla3[[#This Row],[PRECIO DE VENTA AÑO 5]]</f>
        <v>0</v>
      </c>
      <c r="V24" s="47">
        <f>IF(Tabla3[[#This Row],[UNIDADES PRODUCIDAS AÑO 4]]=0,0,(Tabla3[[#This Row],[UNIDADES PRODUCIDAS AÑO 5]]-Tabla3[[#This Row],[UNIDADES PRODUCIDAS AÑO 4]])/Tabla3[[#This Row],[UNIDADES PRODUCIDAS AÑO 4]])</f>
        <v>0</v>
      </c>
    </row>
    <row r="25" spans="2:22" ht="15.75" thickBot="1" x14ac:dyDescent="0.3"/>
    <row r="26" spans="2:22" ht="16.5" thickBot="1" x14ac:dyDescent="0.3">
      <c r="B26" s="537" t="s">
        <v>103</v>
      </c>
      <c r="C26" s="538"/>
      <c r="D26" s="538"/>
      <c r="E26" s="538"/>
      <c r="F26" s="43">
        <f>SUM(Tabla3[VENTA ANUAL AÑO 1])</f>
        <v>0</v>
      </c>
      <c r="G26" s="44"/>
      <c r="H26" s="44"/>
      <c r="I26" s="43">
        <f>SUM(Tabla3[VENTA ANUAL AÑO 2])</f>
        <v>0</v>
      </c>
      <c r="J26" s="43"/>
      <c r="K26" s="44"/>
      <c r="L26" s="44"/>
      <c r="M26" s="43">
        <f>SUM(Tabla3[VENTA ANUAL AÑO 3])</f>
        <v>0</v>
      </c>
      <c r="N26" s="43"/>
      <c r="O26" s="44"/>
      <c r="P26" s="44"/>
      <c r="Q26" s="43">
        <f>SUM(Tabla3[VENTA ANUAL AÑO 4])</f>
        <v>0</v>
      </c>
      <c r="R26" s="43"/>
      <c r="S26" s="44"/>
      <c r="T26" s="44"/>
      <c r="U26" s="43">
        <f>SUM(Tabla3[VENTA ANUAL AÑO 5])</f>
        <v>0</v>
      </c>
      <c r="V26" s="50"/>
    </row>
    <row r="27" spans="2:22" ht="16.5" thickBot="1" x14ac:dyDescent="0.3">
      <c r="B27" s="537" t="s">
        <v>104</v>
      </c>
      <c r="C27" s="538"/>
      <c r="D27" s="538"/>
      <c r="E27" s="538"/>
      <c r="F27" s="43">
        <f>F26*D11</f>
        <v>0</v>
      </c>
      <c r="G27" s="44"/>
      <c r="H27" s="44"/>
      <c r="I27" s="43">
        <f>I26*D12</f>
        <v>0</v>
      </c>
      <c r="J27" s="43"/>
      <c r="K27" s="44"/>
      <c r="L27" s="44"/>
      <c r="M27" s="43">
        <f>M26*D13</f>
        <v>0</v>
      </c>
      <c r="N27" s="43"/>
      <c r="O27" s="44"/>
      <c r="P27" s="44"/>
      <c r="Q27" s="43">
        <f>Q26*D14</f>
        <v>0</v>
      </c>
      <c r="R27" s="43"/>
      <c r="S27" s="44"/>
      <c r="T27" s="44"/>
      <c r="U27" s="43">
        <f>U26*D15</f>
        <v>0</v>
      </c>
      <c r="V27" s="50"/>
    </row>
    <row r="28" spans="2:22" ht="16.5" thickBot="1" x14ac:dyDescent="0.3">
      <c r="B28" s="537" t="s">
        <v>105</v>
      </c>
      <c r="C28" s="538"/>
      <c r="D28" s="538"/>
      <c r="E28" s="538"/>
      <c r="F28" s="43">
        <f>F26+F27</f>
        <v>0</v>
      </c>
      <c r="G28" s="44"/>
      <c r="H28" s="44"/>
      <c r="I28" s="43">
        <f>I26+I27</f>
        <v>0</v>
      </c>
      <c r="J28" s="43"/>
      <c r="K28" s="44"/>
      <c r="L28" s="44"/>
      <c r="M28" s="43">
        <f>M26+M27</f>
        <v>0</v>
      </c>
      <c r="N28" s="43"/>
      <c r="O28" s="44"/>
      <c r="P28" s="44"/>
      <c r="Q28" s="43">
        <f>Q26+Q27</f>
        <v>0</v>
      </c>
      <c r="R28" s="43"/>
      <c r="S28" s="44"/>
      <c r="T28" s="44"/>
      <c r="U28" s="43">
        <f>U26+U27</f>
        <v>0</v>
      </c>
      <c r="V28" s="50"/>
    </row>
  </sheetData>
  <protectedRanges>
    <protectedRange algorithmName="SHA-512" hashValue="PI1FzmXxdjjbHe5ES7fZfhUBXFhVbo1bnvXE/2xlVmPC4IwsJyGU/90VUCFxrzbzt+Y/Gh4Eo/9shgSNWz2Dkg==" saltValue="8n1+OIXmuy91Y+3uFbTkOA==" spinCount="100000" sqref="B23:B24" name="Código"/>
  </protectedRanges>
  <mergeCells count="16">
    <mergeCell ref="B8:V9"/>
    <mergeCell ref="S22:V22"/>
    <mergeCell ref="S21:V21"/>
    <mergeCell ref="K22:N22"/>
    <mergeCell ref="B27:E27"/>
    <mergeCell ref="K21:N21"/>
    <mergeCell ref="O22:R22"/>
    <mergeCell ref="O21:R21"/>
    <mergeCell ref="B28:E28"/>
    <mergeCell ref="B11:B15"/>
    <mergeCell ref="E11:E15"/>
    <mergeCell ref="D21:F21"/>
    <mergeCell ref="G21:J21"/>
    <mergeCell ref="B26:E26"/>
    <mergeCell ref="D22:F22"/>
    <mergeCell ref="G22:J22"/>
  </mergeCells>
  <phoneticPr fontId="17" type="noConversion"/>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llamar_formulario">
                <anchor moveWithCells="1" sizeWithCells="1">
                  <from>
                    <xdr:col>1</xdr:col>
                    <xdr:colOff>295275</xdr:colOff>
                    <xdr:row>16</xdr:row>
                    <xdr:rowOff>0</xdr:rowOff>
                  </from>
                  <to>
                    <xdr:col>1</xdr:col>
                    <xdr:colOff>3086100</xdr:colOff>
                    <xdr:row>20</xdr:row>
                    <xdr:rowOff>47625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0"/>
  <dimension ref="A3:OT188"/>
  <sheetViews>
    <sheetView showGridLines="0" zoomScaleNormal="100" workbookViewId="0"/>
  </sheetViews>
  <sheetFormatPr baseColWidth="10" defaultColWidth="11.42578125" defaultRowHeight="15" x14ac:dyDescent="0.25"/>
  <cols>
    <col min="1" max="1" width="11.42578125" style="2"/>
    <col min="2" max="2" width="39.140625" style="2" bestFit="1" customWidth="1"/>
    <col min="3" max="3" width="50.5703125" style="2" bestFit="1" customWidth="1"/>
    <col min="4" max="4" width="51.85546875" style="2" bestFit="1" customWidth="1"/>
    <col min="5" max="5" width="11.42578125" style="2" customWidth="1"/>
    <col min="6" max="6" width="32.42578125" style="2" customWidth="1"/>
    <col min="7" max="7" width="29.140625" style="2" customWidth="1"/>
    <col min="8" max="8" width="37.85546875" style="2" customWidth="1"/>
    <col min="9" max="9" width="29.140625" style="2" customWidth="1"/>
    <col min="10" max="10" width="37.85546875" style="2" customWidth="1"/>
    <col min="11" max="11" width="29.140625" style="2" customWidth="1"/>
    <col min="12" max="12" width="37.85546875" style="2" customWidth="1"/>
    <col min="13" max="13" width="29.140625" style="2" customWidth="1"/>
    <col min="14" max="14" width="37.85546875" style="2" customWidth="1"/>
    <col min="15" max="15" width="29.140625" style="2" customWidth="1"/>
    <col min="16" max="19" width="26" style="2" customWidth="1"/>
    <col min="20" max="20" width="25.42578125" style="2" bestFit="1" customWidth="1"/>
    <col min="21" max="25" width="17" style="2" customWidth="1"/>
    <col min="26" max="27" width="29.140625" style="2" customWidth="1"/>
    <col min="28" max="28" width="37.85546875" style="2" customWidth="1"/>
    <col min="29" max="29" width="29.140625" style="2" customWidth="1"/>
    <col min="30" max="30" width="37.85546875" style="2" customWidth="1"/>
    <col min="31" max="31" width="29.140625" style="2" customWidth="1"/>
    <col min="32" max="32" width="37.85546875" style="2" customWidth="1"/>
    <col min="33" max="33" width="29.140625" style="2" customWidth="1"/>
    <col min="34" max="34" width="37.85546875" style="2" customWidth="1"/>
    <col min="35" max="35" width="29.140625" style="2" customWidth="1"/>
    <col min="36" max="40" width="26" style="2" customWidth="1"/>
    <col min="41" max="43" width="14.7109375" style="2" customWidth="1"/>
    <col min="44" max="44" width="14.85546875" style="2" customWidth="1"/>
    <col min="45" max="45" width="14.7109375" style="2" customWidth="1"/>
    <col min="46" max="47" width="29.140625" style="2" customWidth="1"/>
    <col min="48" max="48" width="37.85546875" style="2" customWidth="1"/>
    <col min="49" max="49" width="29.140625" style="2" customWidth="1"/>
    <col min="50" max="50" width="37.85546875" style="2" customWidth="1"/>
    <col min="51" max="51" width="29.140625" style="2" customWidth="1"/>
    <col min="52" max="52" width="37.5703125" style="2" customWidth="1"/>
    <col min="53" max="53" width="29.140625" style="2" customWidth="1"/>
    <col min="54" max="54" width="37.85546875" style="2" customWidth="1"/>
    <col min="55" max="55" width="29.140625" style="2" customWidth="1"/>
    <col min="56" max="56" width="26" style="2" customWidth="1"/>
    <col min="57" max="57" width="25.85546875" style="2" customWidth="1"/>
    <col min="58" max="59" width="26" style="2" customWidth="1"/>
    <col min="60" max="60" width="25.85546875" style="2" customWidth="1"/>
    <col min="61" max="65" width="14.7109375" style="2" customWidth="1"/>
    <col min="66" max="67" width="29.140625" style="2" customWidth="1"/>
    <col min="68" max="68" width="37.85546875" style="2" customWidth="1"/>
    <col min="69" max="69" width="29.140625" style="2" customWidth="1"/>
    <col min="70" max="70" width="37.85546875" style="2" customWidth="1"/>
    <col min="71" max="71" width="29.140625" style="2" customWidth="1"/>
    <col min="72" max="72" width="37.85546875" style="2" customWidth="1"/>
    <col min="73" max="73" width="29.140625" style="2" customWidth="1"/>
    <col min="74" max="74" width="37.85546875" style="2" customWidth="1"/>
    <col min="75" max="75" width="29.140625" style="2" customWidth="1"/>
    <col min="76" max="80" width="26" style="2" customWidth="1"/>
    <col min="81" max="85" width="14.7109375" style="2" customWidth="1"/>
    <col min="86" max="87" width="29.140625" style="2" customWidth="1"/>
    <col min="88" max="88" width="37.85546875" style="2" customWidth="1"/>
    <col min="89" max="89" width="29.140625" style="2" customWidth="1"/>
    <col min="90" max="90" width="37.85546875" style="2" customWidth="1"/>
    <col min="91" max="91" width="29.140625" style="2" customWidth="1"/>
    <col min="92" max="92" width="37.85546875" style="2" customWidth="1"/>
    <col min="93" max="93" width="29.140625" style="2" customWidth="1"/>
    <col min="94" max="94" width="37.85546875" style="2" customWidth="1"/>
    <col min="95" max="95" width="29.140625" style="2" customWidth="1"/>
    <col min="96" max="100" width="26" style="2" customWidth="1"/>
    <col min="101" max="105" width="14.7109375" style="2" customWidth="1"/>
    <col min="106" max="107" width="29.140625" style="2" customWidth="1"/>
    <col min="108" max="108" width="37.85546875" style="2" customWidth="1"/>
    <col min="109" max="109" width="29.140625" style="2" customWidth="1"/>
    <col min="110" max="110" width="37.85546875" style="2" customWidth="1"/>
    <col min="111" max="111" width="29.140625" style="2" customWidth="1"/>
    <col min="112" max="112" width="37.85546875" style="2" customWidth="1"/>
    <col min="113" max="113" width="29.140625" style="2" customWidth="1"/>
    <col min="114" max="114" width="37.85546875" style="2" customWidth="1"/>
    <col min="115" max="115" width="29.140625" style="2" customWidth="1"/>
    <col min="116" max="120" width="26" style="2" customWidth="1"/>
    <col min="121" max="123" width="14.7109375" style="2" customWidth="1"/>
    <col min="124" max="124" width="14.5703125" style="2" customWidth="1"/>
    <col min="125" max="125" width="14.7109375" style="2" customWidth="1"/>
    <col min="126" max="127" width="29.140625" style="2" customWidth="1"/>
    <col min="128" max="128" width="37.85546875" style="2" customWidth="1"/>
    <col min="129" max="129" width="29.140625" style="2" customWidth="1"/>
    <col min="130" max="130" width="37.85546875" style="2" customWidth="1"/>
    <col min="131" max="131" width="29.140625" style="2" customWidth="1"/>
    <col min="132" max="132" width="37.85546875" style="2" customWidth="1"/>
    <col min="133" max="133" width="29.140625" style="2" customWidth="1"/>
    <col min="134" max="134" width="37.85546875" style="2" customWidth="1"/>
    <col min="135" max="135" width="29.140625" style="2" customWidth="1"/>
    <col min="136" max="140" width="26" style="2" customWidth="1"/>
    <col min="141" max="145" width="14.7109375" style="2" customWidth="1"/>
    <col min="146" max="147" width="29.140625" style="2" customWidth="1"/>
    <col min="148" max="148" width="37.85546875" style="2" customWidth="1"/>
    <col min="149" max="149" width="29.140625" style="2" customWidth="1"/>
    <col min="150" max="150" width="37.7109375" style="2" customWidth="1"/>
    <col min="151" max="151" width="29.140625" style="2" customWidth="1"/>
    <col min="152" max="152" width="37.85546875" style="2" customWidth="1"/>
    <col min="153" max="153" width="29.140625" style="2" customWidth="1"/>
    <col min="154" max="154" width="37.85546875" style="2" customWidth="1"/>
    <col min="155" max="155" width="29" style="2" customWidth="1"/>
    <col min="156" max="156" width="26.140625" style="2" customWidth="1"/>
    <col min="157" max="160" width="26" style="2" customWidth="1"/>
    <col min="161" max="165" width="14.7109375" style="2" customWidth="1"/>
    <col min="166" max="167" width="29.140625" style="2" customWidth="1"/>
    <col min="168" max="168" width="37.85546875" style="2" customWidth="1"/>
    <col min="169" max="169" width="29.140625" style="2" customWidth="1"/>
    <col min="170" max="170" width="37.85546875" style="2" customWidth="1"/>
    <col min="171" max="171" width="29.140625" style="2" customWidth="1"/>
    <col min="172" max="172" width="37.85546875" style="2" customWidth="1"/>
    <col min="173" max="173" width="29.140625" style="2" customWidth="1"/>
    <col min="174" max="174" width="37.85546875" style="2" customWidth="1"/>
    <col min="175" max="175" width="29.140625" style="2" customWidth="1"/>
    <col min="176" max="180" width="26" style="2" customWidth="1"/>
    <col min="181" max="185" width="14.7109375" style="2" customWidth="1"/>
    <col min="186" max="187" width="29.140625" style="2" customWidth="1"/>
    <col min="188" max="188" width="37.85546875" style="2" customWidth="1"/>
    <col min="189" max="189" width="29.140625" style="2" customWidth="1"/>
    <col min="190" max="190" width="37.7109375" style="2" customWidth="1"/>
    <col min="191" max="191" width="29" style="2" customWidth="1"/>
    <col min="192" max="192" width="37.85546875" style="2" customWidth="1"/>
    <col min="193" max="193" width="29.140625" style="2" customWidth="1"/>
    <col min="194" max="194" width="37.85546875" style="2" customWidth="1"/>
    <col min="195" max="195" width="29.140625" style="2" customWidth="1"/>
    <col min="196" max="200" width="26" style="2" customWidth="1"/>
    <col min="201" max="205" width="14.7109375" style="2" customWidth="1"/>
    <col min="206" max="207" width="29.140625" style="2" customWidth="1"/>
    <col min="208" max="208" width="37.85546875" style="2" customWidth="1"/>
    <col min="209" max="209" width="29.140625" style="2" customWidth="1"/>
    <col min="210" max="210" width="37.85546875" style="2" customWidth="1"/>
    <col min="211" max="211" width="29.140625" style="2" customWidth="1"/>
    <col min="212" max="212" width="37.85546875" style="2" customWidth="1"/>
    <col min="213" max="213" width="29.140625" style="2" customWidth="1"/>
    <col min="214" max="214" width="37.85546875" style="2" customWidth="1"/>
    <col min="215" max="215" width="29.140625" style="2" customWidth="1"/>
    <col min="216" max="216" width="26" style="2" customWidth="1"/>
    <col min="217" max="217" width="25.85546875" style="2" customWidth="1"/>
    <col min="218" max="220" width="26" style="2" customWidth="1"/>
    <col min="221" max="225" width="14.7109375" style="2" customWidth="1"/>
    <col min="226" max="226" width="29" style="2" customWidth="1"/>
    <col min="227" max="227" width="29.140625" style="2" customWidth="1"/>
    <col min="228" max="228" width="37.85546875" style="2" customWidth="1"/>
    <col min="229" max="229" width="29.140625" style="2" customWidth="1"/>
    <col min="230" max="230" width="37.7109375" style="2" customWidth="1"/>
    <col min="231" max="231" width="29.140625" style="2" customWidth="1"/>
    <col min="232" max="232" width="37.85546875" style="2" customWidth="1"/>
    <col min="233" max="233" width="29.140625" style="2" customWidth="1"/>
    <col min="234" max="234" width="37.85546875" style="2" customWidth="1"/>
    <col min="235" max="235" width="29.140625" style="2" customWidth="1"/>
    <col min="236" max="240" width="26" style="2" customWidth="1"/>
    <col min="241" max="245" width="14.7109375" style="2" customWidth="1"/>
    <col min="246" max="246" width="29" style="2" customWidth="1"/>
    <col min="247" max="247" width="29.140625" style="2" customWidth="1"/>
    <col min="248" max="248" width="37.85546875" style="2" customWidth="1"/>
    <col min="249" max="249" width="29.140625" style="2" customWidth="1"/>
    <col min="250" max="250" width="37.85546875" style="2" customWidth="1"/>
    <col min="251" max="251" width="29.140625" style="2" customWidth="1"/>
    <col min="252" max="252" width="37.85546875" style="2" customWidth="1"/>
    <col min="253" max="253" width="29.140625" style="2" customWidth="1"/>
    <col min="254" max="254" width="37.85546875" style="2" customWidth="1"/>
    <col min="255" max="255" width="29.140625" style="2" customWidth="1"/>
    <col min="256" max="260" width="26" style="2" customWidth="1"/>
    <col min="261" max="265" width="14.7109375" style="2" customWidth="1"/>
    <col min="266" max="267" width="29.140625" style="2" customWidth="1"/>
    <col min="268" max="268" width="37.85546875" style="2" customWidth="1"/>
    <col min="269" max="269" width="29.140625" style="2" customWidth="1"/>
    <col min="270" max="270" width="37.85546875" style="2" customWidth="1"/>
    <col min="271" max="271" width="29.140625" style="2" customWidth="1"/>
    <col min="272" max="272" width="37.85546875" style="2" customWidth="1"/>
    <col min="273" max="273" width="29.140625" style="2" customWidth="1"/>
    <col min="274" max="274" width="37.85546875" style="2" customWidth="1"/>
    <col min="275" max="275" width="29.140625" style="2" customWidth="1"/>
    <col min="276" max="280" width="26" style="2" customWidth="1"/>
    <col min="281" max="285" width="14.7109375" style="2" customWidth="1"/>
    <col min="286" max="287" width="29.140625" style="2" customWidth="1"/>
    <col min="288" max="288" width="37.85546875" style="2" customWidth="1"/>
    <col min="289" max="289" width="29.140625" style="2" customWidth="1"/>
    <col min="290" max="290" width="37.5703125" style="2" customWidth="1"/>
    <col min="291" max="291" width="29.140625" style="2" customWidth="1"/>
    <col min="292" max="292" width="37.5703125" style="2" customWidth="1"/>
    <col min="293" max="293" width="29.140625" style="2" customWidth="1"/>
    <col min="294" max="294" width="37.85546875" style="2" customWidth="1"/>
    <col min="295" max="295" width="29.140625" style="2" customWidth="1"/>
    <col min="296" max="296" width="26" style="2" customWidth="1"/>
    <col min="297" max="297" width="25.85546875" style="2" customWidth="1"/>
    <col min="298" max="300" width="26" style="2" customWidth="1"/>
    <col min="301" max="305" width="14.7109375" style="2" customWidth="1"/>
    <col min="306" max="306" width="29.140625" style="2" customWidth="1"/>
    <col min="307" max="307" width="29" style="2" customWidth="1"/>
    <col min="308" max="308" width="37.85546875" style="2" customWidth="1"/>
    <col min="309" max="309" width="29.140625" style="2" customWidth="1"/>
    <col min="310" max="310" width="37.85546875" style="2" customWidth="1"/>
    <col min="311" max="311" width="29" style="2" customWidth="1"/>
    <col min="312" max="312" width="37.7109375" style="2" customWidth="1"/>
    <col min="313" max="313" width="29.140625" style="2" customWidth="1"/>
    <col min="314" max="314" width="37.85546875" style="2" customWidth="1"/>
    <col min="315" max="315" width="29.140625" style="2" customWidth="1"/>
    <col min="316" max="316" width="26" style="2" customWidth="1"/>
    <col min="317" max="317" width="25.5703125" style="2" customWidth="1"/>
    <col min="318" max="318" width="26" style="2" customWidth="1"/>
    <col min="319" max="319" width="25.85546875" style="2" customWidth="1"/>
    <col min="320" max="320" width="26" style="2" customWidth="1"/>
    <col min="321" max="322" width="14.7109375" style="2" customWidth="1"/>
    <col min="323" max="323" width="14.5703125" style="2" customWidth="1"/>
    <col min="324" max="325" width="14.7109375" style="2" customWidth="1"/>
    <col min="326" max="327" width="29.140625" style="2" customWidth="1"/>
    <col min="328" max="328" width="37.7109375" style="2" customWidth="1"/>
    <col min="329" max="329" width="29.140625" style="2" customWidth="1"/>
    <col min="330" max="330" width="37.85546875" style="2" customWidth="1"/>
    <col min="331" max="331" width="29.140625" style="2" customWidth="1"/>
    <col min="332" max="332" width="37.85546875" style="2" customWidth="1"/>
    <col min="333" max="333" width="29.140625" style="2" customWidth="1"/>
    <col min="334" max="334" width="37.85546875" style="2" customWidth="1"/>
    <col min="335" max="335" width="29.140625" style="2" customWidth="1"/>
    <col min="336" max="340" width="26" style="2" customWidth="1"/>
    <col min="341" max="345" width="14.7109375" style="2" customWidth="1"/>
    <col min="346" max="346" width="29.140625" style="2" customWidth="1"/>
    <col min="347" max="347" width="29" style="2" customWidth="1"/>
    <col min="348" max="348" width="37.85546875" style="2" customWidth="1"/>
    <col min="349" max="349" width="29.140625" style="2" customWidth="1"/>
    <col min="350" max="350" width="37.85546875" style="2" customWidth="1"/>
    <col min="351" max="351" width="29" style="2" customWidth="1"/>
    <col min="352" max="352" width="37.85546875" style="2" customWidth="1"/>
    <col min="353" max="353" width="28.7109375" style="2" customWidth="1"/>
    <col min="354" max="354" width="37.7109375" style="2" customWidth="1"/>
    <col min="355" max="355" width="29.140625" style="2" customWidth="1"/>
    <col min="356" max="360" width="26" style="2" customWidth="1"/>
    <col min="361" max="362" width="14.7109375" style="2" customWidth="1"/>
    <col min="363" max="363" width="14.85546875" style="2" customWidth="1"/>
    <col min="364" max="365" width="14.7109375" style="2" customWidth="1"/>
    <col min="366" max="366" width="29.140625" style="2" customWidth="1"/>
    <col min="367" max="367" width="29" style="2" customWidth="1"/>
    <col min="368" max="368" width="37.85546875" style="2" customWidth="1"/>
    <col min="369" max="369" width="29.140625" style="2" customWidth="1"/>
    <col min="370" max="370" width="37.85546875" style="2" customWidth="1"/>
    <col min="371" max="371" width="29.140625" style="2" customWidth="1"/>
    <col min="372" max="372" width="37.85546875" style="2" customWidth="1"/>
    <col min="373" max="373" width="29.140625" style="2" customWidth="1"/>
    <col min="374" max="374" width="37.85546875" style="2" customWidth="1"/>
    <col min="375" max="375" width="28.85546875" style="2" customWidth="1"/>
    <col min="376" max="378" width="26" style="2" customWidth="1"/>
    <col min="379" max="379" width="25.85546875" style="2" customWidth="1"/>
    <col min="380" max="380" width="26" style="2" customWidth="1"/>
    <col min="381" max="385" width="14.7109375" style="2" customWidth="1"/>
    <col min="386" max="387" width="29.140625" style="2" customWidth="1"/>
    <col min="388" max="388" width="37.85546875" style="2" customWidth="1"/>
    <col min="389" max="389" width="29.140625" style="2" customWidth="1"/>
    <col min="390" max="390" width="37.85546875" style="2" customWidth="1"/>
    <col min="391" max="391" width="29.140625" style="2" customWidth="1"/>
    <col min="392" max="392" width="37.85546875" style="2" customWidth="1"/>
    <col min="393" max="393" width="29.140625" style="2" customWidth="1"/>
    <col min="394" max="394" width="37.85546875" style="2" customWidth="1"/>
    <col min="395" max="395" width="29.140625" style="2" customWidth="1"/>
    <col min="396" max="399" width="26" style="2" customWidth="1"/>
    <col min="400" max="400" width="26.140625" style="2" customWidth="1"/>
    <col min="401" max="402" width="14.7109375" style="2" customWidth="1"/>
    <col min="403" max="403" width="14.85546875" style="2" customWidth="1"/>
    <col min="404" max="405" width="14.7109375" style="2" customWidth="1"/>
    <col min="406" max="410" width="15.7109375" style="2" customWidth="1"/>
    <col min="411" max="16384" width="11.42578125" style="2"/>
  </cols>
  <sheetData>
    <row r="3" spans="2:7" ht="20.25" x14ac:dyDescent="0.3">
      <c r="B3" s="451" t="s">
        <v>106</v>
      </c>
      <c r="C3" s="283" t="str">
        <f>INICIO!C22</f>
        <v>PRUEBA</v>
      </c>
    </row>
    <row r="4" spans="2:7" ht="15.75" x14ac:dyDescent="0.25">
      <c r="B4" s="10"/>
      <c r="C4" s="450"/>
    </row>
    <row r="5" spans="2:7" ht="15.75" x14ac:dyDescent="0.25">
      <c r="B5" s="10"/>
      <c r="C5" s="450"/>
    </row>
    <row r="6" spans="2:7" ht="15.75" x14ac:dyDescent="0.25">
      <c r="B6" s="10"/>
      <c r="C6" s="450"/>
    </row>
    <row r="9" spans="2:7" ht="15.75" x14ac:dyDescent="0.25">
      <c r="B9" s="614" t="s">
        <v>107</v>
      </c>
      <c r="C9" s="614"/>
      <c r="D9" s="614"/>
      <c r="E9" s="614"/>
      <c r="F9" s="614"/>
      <c r="G9" s="614"/>
    </row>
    <row r="15" spans="2:7" ht="15.75" x14ac:dyDescent="0.25">
      <c r="B15" s="10" t="s">
        <v>108</v>
      </c>
      <c r="C15" s="10" t="s">
        <v>109</v>
      </c>
      <c r="D15" s="10" t="s">
        <v>110</v>
      </c>
    </row>
    <row r="16" spans="2:7" ht="15.75" x14ac:dyDescent="0.25">
      <c r="B16" s="284"/>
      <c r="C16" s="285"/>
      <c r="D16" s="286"/>
    </row>
    <row r="17" spans="2:4" ht="15.75" x14ac:dyDescent="0.25">
      <c r="B17" s="287"/>
      <c r="C17" s="46"/>
      <c r="D17" s="288"/>
    </row>
    <row r="18" spans="2:4" ht="15.75" x14ac:dyDescent="0.25">
      <c r="B18" s="287"/>
      <c r="C18" s="46"/>
      <c r="D18" s="288"/>
    </row>
    <row r="19" spans="2:4" ht="15.75" x14ac:dyDescent="0.25">
      <c r="B19" s="287"/>
      <c r="C19" s="46"/>
      <c r="D19" s="288"/>
    </row>
    <row r="20" spans="2:4" ht="15.75" x14ac:dyDescent="0.25">
      <c r="B20" s="287"/>
      <c r="C20" s="46"/>
      <c r="D20" s="288"/>
    </row>
    <row r="21" spans="2:4" ht="15.75" x14ac:dyDescent="0.25">
      <c r="B21" s="287"/>
      <c r="C21" s="46"/>
      <c r="D21" s="288"/>
    </row>
    <row r="22" spans="2:4" ht="15.75" x14ac:dyDescent="0.25">
      <c r="B22" s="287"/>
      <c r="C22" s="46"/>
      <c r="D22" s="288"/>
    </row>
    <row r="23" spans="2:4" ht="15.75" x14ac:dyDescent="0.25">
      <c r="B23" s="287"/>
      <c r="C23" s="46"/>
      <c r="D23" s="288"/>
    </row>
    <row r="24" spans="2:4" ht="15.75" x14ac:dyDescent="0.25">
      <c r="B24" s="287"/>
      <c r="C24" s="46"/>
      <c r="D24" s="288"/>
    </row>
    <row r="25" spans="2:4" ht="15.75" x14ac:dyDescent="0.25">
      <c r="B25" s="287"/>
      <c r="C25" s="46"/>
      <c r="D25" s="288"/>
    </row>
    <row r="26" spans="2:4" ht="15.75" x14ac:dyDescent="0.25">
      <c r="B26" s="287"/>
      <c r="C26" s="46"/>
      <c r="D26" s="288"/>
    </row>
    <row r="27" spans="2:4" ht="15.75" x14ac:dyDescent="0.25">
      <c r="B27" s="287"/>
      <c r="C27" s="46"/>
      <c r="D27" s="288"/>
    </row>
    <row r="28" spans="2:4" ht="15.75" x14ac:dyDescent="0.25">
      <c r="B28" s="287"/>
      <c r="C28" s="46"/>
      <c r="D28" s="288"/>
    </row>
    <row r="29" spans="2:4" ht="15.75" x14ac:dyDescent="0.25">
      <c r="B29" s="287"/>
      <c r="C29" s="46"/>
      <c r="D29" s="288"/>
    </row>
    <row r="30" spans="2:4" ht="15.75" x14ac:dyDescent="0.25">
      <c r="B30" s="287"/>
      <c r="C30" s="46"/>
      <c r="D30" s="288"/>
    </row>
    <row r="31" spans="2:4" ht="15.75" x14ac:dyDescent="0.25">
      <c r="B31" s="287"/>
      <c r="C31" s="46"/>
      <c r="D31" s="288"/>
    </row>
    <row r="32" spans="2:4" ht="15.75" x14ac:dyDescent="0.25">
      <c r="B32" s="287"/>
      <c r="C32" s="46"/>
      <c r="D32" s="288"/>
    </row>
    <row r="33" spans="2:40" ht="15.75" x14ac:dyDescent="0.25">
      <c r="B33" s="287"/>
      <c r="C33" s="46"/>
      <c r="D33" s="288"/>
    </row>
    <row r="34" spans="2:40" ht="15.75" x14ac:dyDescent="0.25">
      <c r="B34" s="287"/>
      <c r="C34" s="46"/>
      <c r="D34" s="288"/>
    </row>
    <row r="35" spans="2:40" ht="15.75" x14ac:dyDescent="0.25">
      <c r="B35" s="289"/>
      <c r="C35" s="290"/>
      <c r="D35" s="291"/>
    </row>
    <row r="36" spans="2:40" ht="15.75" x14ac:dyDescent="0.25">
      <c r="B36" s="39"/>
      <c r="C36" s="39"/>
      <c r="D36" s="39"/>
    </row>
    <row r="41" spans="2:40" ht="15.75" x14ac:dyDescent="0.25">
      <c r="C41"/>
      <c r="D41"/>
      <c r="E41"/>
      <c r="F41" s="615" t="s">
        <v>111</v>
      </c>
      <c r="G41" s="616"/>
      <c r="H41" s="616"/>
      <c r="I41" s="616"/>
      <c r="J41" s="616"/>
      <c r="K41" s="616"/>
      <c r="L41" s="616"/>
      <c r="M41" s="616"/>
      <c r="N41" s="616"/>
      <c r="O41" s="616"/>
      <c r="P41" s="616"/>
      <c r="Q41" s="616"/>
      <c r="R41" s="616"/>
      <c r="S41" s="616"/>
      <c r="T41" s="616"/>
      <c r="U41" s="616"/>
      <c r="V41" s="616"/>
      <c r="W41" s="616"/>
      <c r="X41" s="616"/>
      <c r="Y41" s="617"/>
      <c r="Z41" s="280"/>
      <c r="AA41" s="280"/>
      <c r="AB41" s="280"/>
      <c r="AC41" s="280"/>
      <c r="AD41" s="280"/>
      <c r="AE41" s="280"/>
      <c r="AF41" s="280"/>
      <c r="AG41" s="280"/>
      <c r="AH41" s="280"/>
      <c r="AI41" s="280"/>
      <c r="AJ41" s="280"/>
      <c r="AK41" s="280"/>
      <c r="AL41" s="280"/>
      <c r="AM41" s="280"/>
      <c r="AN41" s="280"/>
    </row>
    <row r="42" spans="2:40" s="495" customFormat="1" ht="15.75" x14ac:dyDescent="0.25">
      <c r="C42" s="479" t="s">
        <v>112</v>
      </c>
      <c r="D42" s="479" t="s">
        <v>113</v>
      </c>
      <c r="E42" s="496"/>
      <c r="F42" s="497" cm="1">
        <f t="array" ref="F42:Y42">TRANSPOSE(Tabla9[[MATERIA PRIMA E INSUMOS ]])</f>
        <v>0</v>
      </c>
      <c r="G42" s="497">
        <v>0</v>
      </c>
      <c r="H42" s="497">
        <v>0</v>
      </c>
      <c r="I42" s="497">
        <v>0</v>
      </c>
      <c r="J42" s="497">
        <v>0</v>
      </c>
      <c r="K42" s="497">
        <v>0</v>
      </c>
      <c r="L42" s="497">
        <v>0</v>
      </c>
      <c r="M42" s="497">
        <v>0</v>
      </c>
      <c r="N42" s="497">
        <v>0</v>
      </c>
      <c r="O42" s="497">
        <v>0</v>
      </c>
      <c r="P42" s="497">
        <v>0</v>
      </c>
      <c r="Q42" s="497">
        <v>0</v>
      </c>
      <c r="R42" s="497">
        <v>0</v>
      </c>
      <c r="S42" s="497">
        <v>0</v>
      </c>
      <c r="T42" s="497">
        <v>0</v>
      </c>
      <c r="U42" s="497">
        <v>0</v>
      </c>
      <c r="V42" s="497">
        <v>0</v>
      </c>
      <c r="W42" s="497">
        <v>0</v>
      </c>
      <c r="X42" s="497">
        <v>0</v>
      </c>
      <c r="Y42" s="497">
        <v>0</v>
      </c>
      <c r="Z42" s="498"/>
      <c r="AA42" s="498"/>
      <c r="AB42" s="498"/>
      <c r="AC42" s="498"/>
      <c r="AD42" s="498"/>
      <c r="AE42" s="498"/>
      <c r="AF42" s="498"/>
      <c r="AG42" s="498"/>
      <c r="AH42" s="498"/>
      <c r="AI42" s="498"/>
      <c r="AJ42" s="498"/>
      <c r="AK42" s="498"/>
      <c r="AL42" s="498"/>
      <c r="AM42" s="498"/>
      <c r="AN42" s="498"/>
    </row>
    <row r="43" spans="2:40" s="495" customFormat="1" ht="15.75" x14ac:dyDescent="0.25">
      <c r="C43" s="499"/>
      <c r="D43" s="499" t="e">
        <f>VLOOKUP(Tabla11[[#This Row],[CÓDIGO DEL PRODUCTO Y/O SERVICIO ]],Tabla3[],2,0)</f>
        <v>#N/A</v>
      </c>
      <c r="E43" s="500"/>
      <c r="F43" s="501"/>
      <c r="G43" s="501"/>
      <c r="H43" s="501"/>
      <c r="I43" s="501"/>
      <c r="J43" s="501"/>
      <c r="K43" s="501"/>
      <c r="L43" s="501"/>
      <c r="M43" s="501"/>
      <c r="N43" s="501"/>
      <c r="O43" s="501"/>
      <c r="P43" s="501"/>
      <c r="Q43" s="501"/>
      <c r="R43" s="501"/>
      <c r="S43" s="501"/>
      <c r="T43" s="501"/>
      <c r="U43" s="501"/>
      <c r="V43" s="501"/>
      <c r="W43" s="501"/>
      <c r="X43" s="501"/>
      <c r="Y43" s="501"/>
      <c r="Z43" s="502"/>
      <c r="AA43" s="502"/>
      <c r="AB43" s="502"/>
      <c r="AC43" s="502"/>
      <c r="AD43" s="502"/>
      <c r="AE43" s="502"/>
      <c r="AF43" s="502"/>
      <c r="AG43" s="502"/>
      <c r="AH43" s="502"/>
      <c r="AI43" s="502"/>
      <c r="AJ43" s="502"/>
      <c r="AK43" s="502"/>
      <c r="AL43" s="502"/>
      <c r="AM43" s="502"/>
      <c r="AN43" s="502"/>
    </row>
    <row r="53" spans="3:410" ht="15.75" thickBot="1" x14ac:dyDescent="0.3"/>
    <row r="54" spans="3:410" ht="16.5" thickBot="1" x14ac:dyDescent="0.3">
      <c r="F54" s="626">
        <f>B16</f>
        <v>0</v>
      </c>
      <c r="G54" s="627"/>
      <c r="H54" s="627"/>
      <c r="I54" s="627"/>
      <c r="J54" s="627"/>
      <c r="K54" s="627"/>
      <c r="L54" s="627"/>
      <c r="M54" s="627"/>
      <c r="N54" s="627"/>
      <c r="O54" s="627"/>
      <c r="P54" s="627"/>
      <c r="Q54" s="627"/>
      <c r="R54" s="627"/>
      <c r="S54" s="627"/>
      <c r="T54" s="627"/>
      <c r="U54" s="627"/>
      <c r="V54" s="627"/>
      <c r="W54" s="627"/>
      <c r="X54" s="627"/>
      <c r="Y54" s="628"/>
      <c r="Z54" s="622">
        <f>B17</f>
        <v>0</v>
      </c>
      <c r="AA54" s="623"/>
      <c r="AB54" s="623"/>
      <c r="AC54" s="623"/>
      <c r="AD54" s="623"/>
      <c r="AE54" s="623"/>
      <c r="AF54" s="623"/>
      <c r="AG54" s="623"/>
      <c r="AH54" s="623"/>
      <c r="AI54" s="623"/>
      <c r="AJ54" s="623"/>
      <c r="AK54" s="623"/>
      <c r="AL54" s="623"/>
      <c r="AM54" s="623"/>
      <c r="AN54" s="623"/>
      <c r="AO54" s="623"/>
      <c r="AP54" s="623"/>
      <c r="AQ54" s="623"/>
      <c r="AR54" s="623"/>
      <c r="AS54" s="624"/>
      <c r="AT54" s="577">
        <f>B18</f>
        <v>0</v>
      </c>
      <c r="AU54" s="578"/>
      <c r="AV54" s="578"/>
      <c r="AW54" s="578"/>
      <c r="AX54" s="578"/>
      <c r="AY54" s="578"/>
      <c r="AZ54" s="578"/>
      <c r="BA54" s="578"/>
      <c r="BB54" s="578"/>
      <c r="BC54" s="578"/>
      <c r="BD54" s="578"/>
      <c r="BE54" s="578"/>
      <c r="BF54" s="578"/>
      <c r="BG54" s="578"/>
      <c r="BH54" s="578"/>
      <c r="BI54" s="578"/>
      <c r="BJ54" s="578"/>
      <c r="BK54" s="578"/>
      <c r="BL54" s="578"/>
      <c r="BM54" s="579"/>
      <c r="BN54" s="630">
        <f>B19</f>
        <v>0</v>
      </c>
      <c r="BO54" s="631"/>
      <c r="BP54" s="631"/>
      <c r="BQ54" s="631"/>
      <c r="BR54" s="631"/>
      <c r="BS54" s="631"/>
      <c r="BT54" s="631"/>
      <c r="BU54" s="631"/>
      <c r="BV54" s="631"/>
      <c r="BW54" s="631"/>
      <c r="BX54" s="631"/>
      <c r="BY54" s="631"/>
      <c r="BZ54" s="631"/>
      <c r="CA54" s="631"/>
      <c r="CB54" s="631"/>
      <c r="CC54" s="631"/>
      <c r="CD54" s="631"/>
      <c r="CE54" s="631"/>
      <c r="CF54" s="631"/>
      <c r="CG54" s="632"/>
      <c r="CH54" s="577">
        <f>B20</f>
        <v>0</v>
      </c>
      <c r="CI54" s="578"/>
      <c r="CJ54" s="578"/>
      <c r="CK54" s="578"/>
      <c r="CL54" s="578"/>
      <c r="CM54" s="578"/>
      <c r="CN54" s="578"/>
      <c r="CO54" s="578"/>
      <c r="CP54" s="578"/>
      <c r="CQ54" s="578"/>
      <c r="CR54" s="578"/>
      <c r="CS54" s="578"/>
      <c r="CT54" s="578"/>
      <c r="CU54" s="578"/>
      <c r="CV54" s="578"/>
      <c r="CW54" s="578"/>
      <c r="CX54" s="578"/>
      <c r="CY54" s="578"/>
      <c r="CZ54" s="578"/>
      <c r="DA54" s="579"/>
      <c r="DB54" s="581">
        <f>B21</f>
        <v>0</v>
      </c>
      <c r="DC54" s="582"/>
      <c r="DD54" s="582"/>
      <c r="DE54" s="582"/>
      <c r="DF54" s="582"/>
      <c r="DG54" s="582"/>
      <c r="DH54" s="582"/>
      <c r="DI54" s="582"/>
      <c r="DJ54" s="582"/>
      <c r="DK54" s="582"/>
      <c r="DL54" s="582"/>
      <c r="DM54" s="582"/>
      <c r="DN54" s="582"/>
      <c r="DO54" s="582"/>
      <c r="DP54" s="582"/>
      <c r="DQ54" s="582"/>
      <c r="DR54" s="582"/>
      <c r="DS54" s="582"/>
      <c r="DT54" s="582"/>
      <c r="DU54" s="583"/>
      <c r="DV54" s="577">
        <f>B22</f>
        <v>0</v>
      </c>
      <c r="DW54" s="578"/>
      <c r="DX54" s="578"/>
      <c r="DY54" s="578"/>
      <c r="DZ54" s="578"/>
      <c r="EA54" s="578"/>
      <c r="EB54" s="578"/>
      <c r="EC54" s="578"/>
      <c r="ED54" s="578"/>
      <c r="EE54" s="578"/>
      <c r="EF54" s="578"/>
      <c r="EG54" s="578"/>
      <c r="EH54" s="578"/>
      <c r="EI54" s="578"/>
      <c r="EJ54" s="578"/>
      <c r="EK54" s="578"/>
      <c r="EL54" s="578"/>
      <c r="EM54" s="578"/>
      <c r="EN54" s="578"/>
      <c r="EO54" s="579"/>
      <c r="EP54" s="581">
        <f>B23</f>
        <v>0</v>
      </c>
      <c r="EQ54" s="582"/>
      <c r="ER54" s="582"/>
      <c r="ES54" s="582"/>
      <c r="ET54" s="582"/>
      <c r="EU54" s="582"/>
      <c r="EV54" s="582"/>
      <c r="EW54" s="582"/>
      <c r="EX54" s="582"/>
      <c r="EY54" s="582"/>
      <c r="EZ54" s="582"/>
      <c r="FA54" s="582"/>
      <c r="FB54" s="582"/>
      <c r="FC54" s="582"/>
      <c r="FD54" s="582"/>
      <c r="FE54" s="582"/>
      <c r="FF54" s="582"/>
      <c r="FG54" s="582"/>
      <c r="FH54" s="582"/>
      <c r="FI54" s="583"/>
      <c r="FJ54" s="577">
        <f>B24</f>
        <v>0</v>
      </c>
      <c r="FK54" s="578"/>
      <c r="FL54" s="578"/>
      <c r="FM54" s="578"/>
      <c r="FN54" s="578"/>
      <c r="FO54" s="578"/>
      <c r="FP54" s="578"/>
      <c r="FQ54" s="578"/>
      <c r="FR54" s="578"/>
      <c r="FS54" s="578"/>
      <c r="FT54" s="578"/>
      <c r="FU54" s="578"/>
      <c r="FV54" s="578"/>
      <c r="FW54" s="578"/>
      <c r="FX54" s="578"/>
      <c r="FY54" s="578"/>
      <c r="FZ54" s="578"/>
      <c r="GA54" s="578"/>
      <c r="GB54" s="578"/>
      <c r="GC54" s="579"/>
      <c r="GD54" s="585">
        <f>B25</f>
        <v>0</v>
      </c>
      <c r="GE54" s="586"/>
      <c r="GF54" s="586"/>
      <c r="GG54" s="586"/>
      <c r="GH54" s="586"/>
      <c r="GI54" s="586"/>
      <c r="GJ54" s="586"/>
      <c r="GK54" s="586"/>
      <c r="GL54" s="586"/>
      <c r="GM54" s="586"/>
      <c r="GN54" s="586"/>
      <c r="GO54" s="586"/>
      <c r="GP54" s="586"/>
      <c r="GQ54" s="586"/>
      <c r="GR54" s="586"/>
      <c r="GS54" s="586"/>
      <c r="GT54" s="586"/>
      <c r="GU54" s="586"/>
      <c r="GV54" s="586"/>
      <c r="GW54" s="587"/>
      <c r="GX54" s="577">
        <f>B26</f>
        <v>0</v>
      </c>
      <c r="GY54" s="578"/>
      <c r="GZ54" s="578"/>
      <c r="HA54" s="578"/>
      <c r="HB54" s="578"/>
      <c r="HC54" s="578"/>
      <c r="HD54" s="578"/>
      <c r="HE54" s="578"/>
      <c r="HF54" s="578"/>
      <c r="HG54" s="578"/>
      <c r="HH54" s="578"/>
      <c r="HI54" s="578"/>
      <c r="HJ54" s="578"/>
      <c r="HK54" s="578"/>
      <c r="HL54" s="578"/>
      <c r="HM54" s="578"/>
      <c r="HN54" s="578"/>
      <c r="HO54" s="578"/>
      <c r="HP54" s="578"/>
      <c r="HQ54" s="579"/>
      <c r="HR54" s="581">
        <f>B27</f>
        <v>0</v>
      </c>
      <c r="HS54" s="582"/>
      <c r="HT54" s="582"/>
      <c r="HU54" s="582"/>
      <c r="HV54" s="582"/>
      <c r="HW54" s="582"/>
      <c r="HX54" s="582"/>
      <c r="HY54" s="582"/>
      <c r="HZ54" s="582"/>
      <c r="IA54" s="582"/>
      <c r="IB54" s="582"/>
      <c r="IC54" s="582"/>
      <c r="ID54" s="582"/>
      <c r="IE54" s="582"/>
      <c r="IF54" s="582"/>
      <c r="IG54" s="582"/>
      <c r="IH54" s="582"/>
      <c r="II54" s="582"/>
      <c r="IJ54" s="582"/>
      <c r="IK54" s="583"/>
      <c r="IL54" s="577">
        <f>B28</f>
        <v>0</v>
      </c>
      <c r="IM54" s="578"/>
      <c r="IN54" s="578"/>
      <c r="IO54" s="578"/>
      <c r="IP54" s="578"/>
      <c r="IQ54" s="578"/>
      <c r="IR54" s="578"/>
      <c r="IS54" s="578"/>
      <c r="IT54" s="578"/>
      <c r="IU54" s="578"/>
      <c r="IV54" s="578"/>
      <c r="IW54" s="578"/>
      <c r="IX54" s="578"/>
      <c r="IY54" s="578"/>
      <c r="IZ54" s="578"/>
      <c r="JA54" s="578"/>
      <c r="JB54" s="578"/>
      <c r="JC54" s="578"/>
      <c r="JD54" s="578"/>
      <c r="JE54" s="579"/>
      <c r="JF54" s="630">
        <f>B29</f>
        <v>0</v>
      </c>
      <c r="JG54" s="631"/>
      <c r="JH54" s="631"/>
      <c r="JI54" s="631"/>
      <c r="JJ54" s="631"/>
      <c r="JK54" s="631"/>
      <c r="JL54" s="631"/>
      <c r="JM54" s="631"/>
      <c r="JN54" s="631"/>
      <c r="JO54" s="631"/>
      <c r="JP54" s="631"/>
      <c r="JQ54" s="631"/>
      <c r="JR54" s="631"/>
      <c r="JS54" s="631"/>
      <c r="JT54" s="631"/>
      <c r="JU54" s="631"/>
      <c r="JV54" s="631"/>
      <c r="JW54" s="631"/>
      <c r="JX54" s="631"/>
      <c r="JY54" s="632"/>
      <c r="JZ54" s="577">
        <f>B30</f>
        <v>0</v>
      </c>
      <c r="KA54" s="578"/>
      <c r="KB54" s="578"/>
      <c r="KC54" s="578"/>
      <c r="KD54" s="578"/>
      <c r="KE54" s="578"/>
      <c r="KF54" s="578"/>
      <c r="KG54" s="578"/>
      <c r="KH54" s="578"/>
      <c r="KI54" s="578"/>
      <c r="KJ54" s="578"/>
      <c r="KK54" s="578"/>
      <c r="KL54" s="578"/>
      <c r="KM54" s="578"/>
      <c r="KN54" s="578"/>
      <c r="KO54" s="578"/>
      <c r="KP54" s="578"/>
      <c r="KQ54" s="578"/>
      <c r="KR54" s="578"/>
      <c r="KS54" s="579"/>
      <c r="KT54" s="581">
        <f>B31</f>
        <v>0</v>
      </c>
      <c r="KU54" s="582"/>
      <c r="KV54" s="582"/>
      <c r="KW54" s="582"/>
      <c r="KX54" s="582"/>
      <c r="KY54" s="582"/>
      <c r="KZ54" s="582"/>
      <c r="LA54" s="582"/>
      <c r="LB54" s="582"/>
      <c r="LC54" s="582"/>
      <c r="LD54" s="582"/>
      <c r="LE54" s="582"/>
      <c r="LF54" s="582"/>
      <c r="LG54" s="582"/>
      <c r="LH54" s="582"/>
      <c r="LI54" s="582"/>
      <c r="LJ54" s="582"/>
      <c r="LK54" s="582"/>
      <c r="LL54" s="582"/>
      <c r="LM54" s="583"/>
      <c r="LN54" s="577">
        <f>B32</f>
        <v>0</v>
      </c>
      <c r="LO54" s="578"/>
      <c r="LP54" s="578"/>
      <c r="LQ54" s="578"/>
      <c r="LR54" s="578"/>
      <c r="LS54" s="578"/>
      <c r="LT54" s="578"/>
      <c r="LU54" s="578"/>
      <c r="LV54" s="578"/>
      <c r="LW54" s="578"/>
      <c r="LX54" s="578"/>
      <c r="LY54" s="578"/>
      <c r="LZ54" s="578"/>
      <c r="MA54" s="578"/>
      <c r="MB54" s="578"/>
      <c r="MC54" s="578"/>
      <c r="MD54" s="578"/>
      <c r="ME54" s="578"/>
      <c r="MF54" s="578"/>
      <c r="MG54" s="579"/>
      <c r="MH54" s="581">
        <f>B33</f>
        <v>0</v>
      </c>
      <c r="MI54" s="582"/>
      <c r="MJ54" s="582"/>
      <c r="MK54" s="582"/>
      <c r="ML54" s="582"/>
      <c r="MM54" s="582"/>
      <c r="MN54" s="582"/>
      <c r="MO54" s="582"/>
      <c r="MP54" s="582"/>
      <c r="MQ54" s="582"/>
      <c r="MR54" s="582"/>
      <c r="MS54" s="582"/>
      <c r="MT54" s="582"/>
      <c r="MU54" s="582"/>
      <c r="MV54" s="582"/>
      <c r="MW54" s="582"/>
      <c r="MX54" s="582"/>
      <c r="MY54" s="582"/>
      <c r="MZ54" s="582"/>
      <c r="NA54" s="583"/>
      <c r="NB54" s="577">
        <f>B34</f>
        <v>0</v>
      </c>
      <c r="NC54" s="578"/>
      <c r="ND54" s="578"/>
      <c r="NE54" s="578"/>
      <c r="NF54" s="578"/>
      <c r="NG54" s="578"/>
      <c r="NH54" s="578"/>
      <c r="NI54" s="578"/>
      <c r="NJ54" s="578"/>
      <c r="NK54" s="578"/>
      <c r="NL54" s="578"/>
      <c r="NM54" s="578"/>
      <c r="NN54" s="578"/>
      <c r="NO54" s="578"/>
      <c r="NP54" s="578"/>
      <c r="NQ54" s="578"/>
      <c r="NR54" s="578"/>
      <c r="NS54" s="578"/>
      <c r="NT54" s="578"/>
      <c r="NU54" s="579"/>
      <c r="NV54" s="581">
        <f>B35</f>
        <v>0</v>
      </c>
      <c r="NW54" s="582"/>
      <c r="NX54" s="582"/>
      <c r="NY54" s="582"/>
      <c r="NZ54" s="582"/>
      <c r="OA54" s="582"/>
      <c r="OB54" s="582"/>
      <c r="OC54" s="582"/>
      <c r="OD54" s="582"/>
      <c r="OE54" s="582"/>
      <c r="OF54" s="582"/>
      <c r="OG54" s="582"/>
      <c r="OH54" s="582"/>
      <c r="OI54" s="582"/>
      <c r="OJ54" s="582"/>
      <c r="OK54" s="582"/>
      <c r="OL54" s="582"/>
      <c r="OM54" s="582"/>
      <c r="ON54" s="582"/>
      <c r="OO54" s="582"/>
      <c r="OP54" s="642" t="s">
        <v>114</v>
      </c>
      <c r="OQ54" s="642"/>
      <c r="OR54" s="642"/>
      <c r="OS54" s="642"/>
      <c r="OT54" s="642"/>
    </row>
    <row r="55" spans="3:410" ht="15.75" x14ac:dyDescent="0.25">
      <c r="F55" s="294"/>
      <c r="G55" s="294"/>
      <c r="H55" s="294"/>
      <c r="I55" s="294"/>
      <c r="J55" s="294"/>
      <c r="K55" s="294"/>
      <c r="L55" s="294"/>
      <c r="M55" s="294"/>
      <c r="N55" s="294"/>
      <c r="O55" s="294"/>
      <c r="P55" s="576" t="s">
        <v>115</v>
      </c>
      <c r="Q55" s="625"/>
      <c r="R55" s="625"/>
      <c r="S55" s="625"/>
      <c r="T55" s="625"/>
      <c r="U55" s="618" t="s">
        <v>116</v>
      </c>
      <c r="V55" s="618"/>
      <c r="W55" s="618"/>
      <c r="X55" s="618"/>
      <c r="Y55" s="618"/>
      <c r="Z55" s="295"/>
      <c r="AA55" s="295"/>
      <c r="AB55" s="295"/>
      <c r="AC55" s="295"/>
      <c r="AD55" s="295"/>
      <c r="AE55" s="295"/>
      <c r="AF55" s="295"/>
      <c r="AG55" s="295"/>
      <c r="AH55" s="295"/>
      <c r="AI55" s="295"/>
      <c r="AJ55" s="580" t="s">
        <v>115</v>
      </c>
      <c r="AK55" s="580"/>
      <c r="AL55" s="580"/>
      <c r="AM55" s="580"/>
      <c r="AN55" s="580"/>
      <c r="AO55" s="619" t="s">
        <v>116</v>
      </c>
      <c r="AP55" s="620"/>
      <c r="AQ55" s="620"/>
      <c r="AR55" s="620"/>
      <c r="AS55" s="621"/>
      <c r="AT55" s="296"/>
      <c r="AU55" s="296"/>
      <c r="AV55" s="296"/>
      <c r="AW55" s="296"/>
      <c r="AX55" s="296"/>
      <c r="AY55" s="296"/>
      <c r="AZ55" s="296"/>
      <c r="BA55" s="296"/>
      <c r="BB55" s="296"/>
      <c r="BC55" s="296"/>
      <c r="BD55" s="576" t="s">
        <v>115</v>
      </c>
      <c r="BE55" s="576"/>
      <c r="BF55" s="576"/>
      <c r="BG55" s="576"/>
      <c r="BH55" s="576"/>
      <c r="BI55" s="576" t="s">
        <v>116</v>
      </c>
      <c r="BJ55" s="576"/>
      <c r="BK55" s="576"/>
      <c r="BL55" s="576"/>
      <c r="BM55" s="576"/>
      <c r="BN55" s="297"/>
      <c r="BO55" s="297"/>
      <c r="BP55" s="297"/>
      <c r="BQ55" s="297"/>
      <c r="BR55" s="297"/>
      <c r="BS55" s="297"/>
      <c r="BT55" s="297"/>
      <c r="BU55" s="297"/>
      <c r="BV55" s="297"/>
      <c r="BW55" s="297"/>
      <c r="BX55" s="629" t="s">
        <v>115</v>
      </c>
      <c r="BY55" s="629"/>
      <c r="BZ55" s="629"/>
      <c r="CA55" s="629"/>
      <c r="CB55" s="629"/>
      <c r="CC55" s="629" t="s">
        <v>116</v>
      </c>
      <c r="CD55" s="629"/>
      <c r="CE55" s="629"/>
      <c r="CF55" s="629"/>
      <c r="CG55" s="629"/>
      <c r="CH55" s="296"/>
      <c r="CI55" s="296"/>
      <c r="CJ55" s="296"/>
      <c r="CK55" s="296"/>
      <c r="CL55" s="296"/>
      <c r="CM55" s="296"/>
      <c r="CN55" s="296"/>
      <c r="CO55" s="296"/>
      <c r="CP55" s="296"/>
      <c r="CQ55" s="296"/>
      <c r="CR55" s="576" t="s">
        <v>115</v>
      </c>
      <c r="CS55" s="576"/>
      <c r="CT55" s="576"/>
      <c r="CU55" s="576"/>
      <c r="CV55" s="576"/>
      <c r="CW55" s="576" t="s">
        <v>116</v>
      </c>
      <c r="CX55" s="576"/>
      <c r="CY55" s="576"/>
      <c r="CZ55" s="576"/>
      <c r="DA55" s="576"/>
      <c r="DB55" s="298"/>
      <c r="DC55" s="298"/>
      <c r="DD55" s="298"/>
      <c r="DE55" s="298"/>
      <c r="DF55" s="298"/>
      <c r="DG55" s="298"/>
      <c r="DH55" s="298"/>
      <c r="DI55" s="298"/>
      <c r="DJ55" s="298"/>
      <c r="DK55" s="298"/>
      <c r="DL55" s="580" t="s">
        <v>115</v>
      </c>
      <c r="DM55" s="580"/>
      <c r="DN55" s="580"/>
      <c r="DO55" s="580"/>
      <c r="DP55" s="580"/>
      <c r="DQ55" s="590" t="s">
        <v>116</v>
      </c>
      <c r="DR55" s="590"/>
      <c r="DS55" s="590"/>
      <c r="DT55" s="590"/>
      <c r="DU55" s="590"/>
      <c r="DV55" s="296"/>
      <c r="DW55" s="296"/>
      <c r="DX55" s="296"/>
      <c r="DY55" s="296"/>
      <c r="DZ55" s="296"/>
      <c r="EA55" s="296"/>
      <c r="EB55" s="296"/>
      <c r="EC55" s="296"/>
      <c r="ED55" s="296"/>
      <c r="EE55" s="296"/>
      <c r="EF55" s="576" t="s">
        <v>115</v>
      </c>
      <c r="EG55" s="576"/>
      <c r="EH55" s="576"/>
      <c r="EI55" s="576"/>
      <c r="EJ55" s="576"/>
      <c r="EK55" s="576" t="s">
        <v>116</v>
      </c>
      <c r="EL55" s="576"/>
      <c r="EM55" s="576"/>
      <c r="EN55" s="576"/>
      <c r="EO55" s="576"/>
      <c r="EP55" s="298"/>
      <c r="EQ55" s="298"/>
      <c r="ER55" s="298"/>
      <c r="ES55" s="298"/>
      <c r="ET55" s="298"/>
      <c r="EU55" s="298"/>
      <c r="EV55" s="298"/>
      <c r="EW55" s="298"/>
      <c r="EX55" s="298"/>
      <c r="EY55" s="298"/>
      <c r="EZ55" s="580" t="s">
        <v>115</v>
      </c>
      <c r="FA55" s="580"/>
      <c r="FB55" s="580"/>
      <c r="FC55" s="580"/>
      <c r="FD55" s="580"/>
      <c r="FE55" s="580" t="s">
        <v>116</v>
      </c>
      <c r="FF55" s="580"/>
      <c r="FG55" s="580"/>
      <c r="FH55" s="580"/>
      <c r="FI55" s="580"/>
      <c r="FJ55" s="296"/>
      <c r="FK55" s="296"/>
      <c r="FL55" s="296"/>
      <c r="FM55" s="296"/>
      <c r="FN55" s="296"/>
      <c r="FO55" s="296"/>
      <c r="FP55" s="296"/>
      <c r="FQ55" s="296"/>
      <c r="FR55" s="296"/>
      <c r="FS55" s="296"/>
      <c r="FT55" s="576" t="s">
        <v>117</v>
      </c>
      <c r="FU55" s="576"/>
      <c r="FV55" s="576"/>
      <c r="FW55" s="576"/>
      <c r="FX55" s="576"/>
      <c r="FY55" s="576" t="s">
        <v>116</v>
      </c>
      <c r="FZ55" s="576"/>
      <c r="GA55" s="576"/>
      <c r="GB55" s="576"/>
      <c r="GC55" s="576"/>
      <c r="GD55" s="299"/>
      <c r="GE55" s="299"/>
      <c r="GF55" s="299"/>
      <c r="GG55" s="299"/>
      <c r="GH55" s="299"/>
      <c r="GI55" s="299"/>
      <c r="GJ55" s="299"/>
      <c r="GK55" s="299"/>
      <c r="GL55" s="299"/>
      <c r="GM55" s="299"/>
      <c r="GN55" s="584" t="s">
        <v>115</v>
      </c>
      <c r="GO55" s="584"/>
      <c r="GP55" s="584"/>
      <c r="GQ55" s="584"/>
      <c r="GR55" s="584"/>
      <c r="GS55" s="584" t="s">
        <v>116</v>
      </c>
      <c r="GT55" s="584"/>
      <c r="GU55" s="584"/>
      <c r="GV55" s="584"/>
      <c r="GW55" s="584"/>
      <c r="GX55" s="296"/>
      <c r="GY55" s="296"/>
      <c r="GZ55" s="296"/>
      <c r="HA55" s="296"/>
      <c r="HB55" s="296"/>
      <c r="HC55" s="296"/>
      <c r="HD55" s="296"/>
      <c r="HE55" s="296"/>
      <c r="HF55" s="296"/>
      <c r="HG55" s="296"/>
      <c r="HH55" s="576" t="s">
        <v>115</v>
      </c>
      <c r="HI55" s="576"/>
      <c r="HJ55" s="576"/>
      <c r="HK55" s="576"/>
      <c r="HL55" s="576"/>
      <c r="HM55" s="576" t="s">
        <v>116</v>
      </c>
      <c r="HN55" s="576"/>
      <c r="HO55" s="576"/>
      <c r="HP55" s="576"/>
      <c r="HQ55" s="576"/>
      <c r="HR55" s="298"/>
      <c r="HS55" s="298"/>
      <c r="HT55" s="298"/>
      <c r="HU55" s="298"/>
      <c r="HV55" s="298"/>
      <c r="HW55" s="298"/>
      <c r="HX55" s="298"/>
      <c r="HY55" s="298"/>
      <c r="HZ55" s="298"/>
      <c r="IA55" s="298"/>
      <c r="IB55" s="580" t="s">
        <v>115</v>
      </c>
      <c r="IC55" s="580"/>
      <c r="ID55" s="580"/>
      <c r="IE55" s="580"/>
      <c r="IF55" s="580"/>
      <c r="IG55" s="580" t="s">
        <v>116</v>
      </c>
      <c r="IH55" s="580"/>
      <c r="II55" s="580"/>
      <c r="IJ55" s="580"/>
      <c r="IK55" s="580"/>
      <c r="IL55" s="296"/>
      <c r="IM55" s="296"/>
      <c r="IN55" s="296"/>
      <c r="IO55" s="296"/>
      <c r="IP55" s="296"/>
      <c r="IQ55" s="296"/>
      <c r="IR55" s="296"/>
      <c r="IS55" s="296"/>
      <c r="IT55" s="296"/>
      <c r="IU55" s="296"/>
      <c r="IV55" s="576" t="s">
        <v>115</v>
      </c>
      <c r="IW55" s="576"/>
      <c r="IX55" s="576"/>
      <c r="IY55" s="576"/>
      <c r="IZ55" s="576"/>
      <c r="JA55" s="576" t="s">
        <v>116</v>
      </c>
      <c r="JB55" s="576"/>
      <c r="JC55" s="576"/>
      <c r="JD55" s="576"/>
      <c r="JE55" s="576"/>
      <c r="JF55" s="297"/>
      <c r="JG55" s="297"/>
      <c r="JH55" s="297"/>
      <c r="JI55" s="297"/>
      <c r="JJ55" s="297"/>
      <c r="JK55" s="297"/>
      <c r="JL55" s="297"/>
      <c r="JM55" s="297"/>
      <c r="JN55" s="297"/>
      <c r="JO55" s="297"/>
      <c r="JP55" s="629" t="s">
        <v>115</v>
      </c>
      <c r="JQ55" s="629"/>
      <c r="JR55" s="629"/>
      <c r="JS55" s="629"/>
      <c r="JT55" s="629"/>
      <c r="JU55" s="633" t="s">
        <v>116</v>
      </c>
      <c r="JV55" s="634"/>
      <c r="JW55" s="634"/>
      <c r="JX55" s="634"/>
      <c r="JY55" s="635"/>
      <c r="JZ55" s="296"/>
      <c r="KA55" s="296"/>
      <c r="KB55" s="296"/>
      <c r="KC55" s="296"/>
      <c r="KD55" s="296"/>
      <c r="KE55" s="296"/>
      <c r="KF55" s="296"/>
      <c r="KG55" s="296"/>
      <c r="KH55" s="296"/>
      <c r="KI55" s="296"/>
      <c r="KJ55" s="576" t="s">
        <v>115</v>
      </c>
      <c r="KK55" s="576"/>
      <c r="KL55" s="576"/>
      <c r="KM55" s="576"/>
      <c r="KN55" s="576"/>
      <c r="KO55" s="576" t="s">
        <v>116</v>
      </c>
      <c r="KP55" s="576"/>
      <c r="KQ55" s="576"/>
      <c r="KR55" s="576"/>
      <c r="KS55" s="576"/>
      <c r="KT55" s="298"/>
      <c r="KU55" s="298"/>
      <c r="KV55" s="298"/>
      <c r="KW55" s="298"/>
      <c r="KX55" s="298"/>
      <c r="KY55" s="298"/>
      <c r="KZ55" s="298"/>
      <c r="LA55" s="298"/>
      <c r="LB55" s="298"/>
      <c r="LC55" s="298"/>
      <c r="LD55" s="580" t="s">
        <v>115</v>
      </c>
      <c r="LE55" s="580"/>
      <c r="LF55" s="580"/>
      <c r="LG55" s="580"/>
      <c r="LH55" s="580"/>
      <c r="LI55" s="619" t="s">
        <v>116</v>
      </c>
      <c r="LJ55" s="620"/>
      <c r="LK55" s="620"/>
      <c r="LL55" s="620"/>
      <c r="LM55" s="620"/>
      <c r="LN55" s="300"/>
      <c r="LO55" s="296"/>
      <c r="LP55" s="296"/>
      <c r="LQ55" s="296"/>
      <c r="LR55" s="296"/>
      <c r="LS55" s="296"/>
      <c r="LT55" s="296"/>
      <c r="LU55" s="296"/>
      <c r="LV55" s="296"/>
      <c r="LW55" s="296"/>
      <c r="LX55" s="576" t="s">
        <v>115</v>
      </c>
      <c r="LY55" s="576"/>
      <c r="LZ55" s="576"/>
      <c r="MA55" s="576"/>
      <c r="MB55" s="576"/>
      <c r="MC55" s="576" t="s">
        <v>118</v>
      </c>
      <c r="MD55" s="576"/>
      <c r="ME55" s="576"/>
      <c r="MF55" s="576"/>
      <c r="MG55" s="576"/>
      <c r="MH55" s="298"/>
      <c r="MI55" s="298"/>
      <c r="MJ55" s="298"/>
      <c r="MK55" s="298"/>
      <c r="ML55" s="298"/>
      <c r="MM55" s="298"/>
      <c r="MN55" s="298"/>
      <c r="MO55" s="298"/>
      <c r="MP55" s="298"/>
      <c r="MQ55" s="298"/>
      <c r="MR55" s="580" t="s">
        <v>115</v>
      </c>
      <c r="MS55" s="580"/>
      <c r="MT55" s="580"/>
      <c r="MU55" s="580"/>
      <c r="MV55" s="580"/>
      <c r="MW55" s="580" t="s">
        <v>116</v>
      </c>
      <c r="MX55" s="580"/>
      <c r="MY55" s="580"/>
      <c r="MZ55" s="580"/>
      <c r="NA55" s="580"/>
      <c r="NB55" s="296"/>
      <c r="NC55" s="296"/>
      <c r="ND55" s="296"/>
      <c r="NE55" s="296"/>
      <c r="NF55" s="296"/>
      <c r="NG55" s="296"/>
      <c r="NH55" s="296"/>
      <c r="NI55" s="296"/>
      <c r="NJ55" s="296"/>
      <c r="NK55" s="296"/>
      <c r="NL55" s="576" t="s">
        <v>115</v>
      </c>
      <c r="NM55" s="576"/>
      <c r="NN55" s="576"/>
      <c r="NO55" s="576"/>
      <c r="NP55" s="576"/>
      <c r="NQ55" s="576" t="s">
        <v>118</v>
      </c>
      <c r="NR55" s="576"/>
      <c r="NS55" s="576"/>
      <c r="NT55" s="576"/>
      <c r="NU55" s="576"/>
      <c r="NV55" s="298"/>
      <c r="NW55" s="298"/>
      <c r="NX55" s="298"/>
      <c r="NY55" s="298"/>
      <c r="NZ55" s="298"/>
      <c r="OA55" s="298"/>
      <c r="OB55" s="298"/>
      <c r="OC55" s="298"/>
      <c r="OD55" s="298"/>
      <c r="OE55" s="298"/>
      <c r="OF55" s="580" t="s">
        <v>115</v>
      </c>
      <c r="OG55" s="580"/>
      <c r="OH55" s="580"/>
      <c r="OI55" s="580"/>
      <c r="OJ55" s="580"/>
      <c r="OK55" s="580" t="s">
        <v>116</v>
      </c>
      <c r="OL55" s="580"/>
      <c r="OM55" s="580"/>
      <c r="ON55" s="580"/>
      <c r="OO55" s="619"/>
      <c r="OP55" s="642"/>
      <c r="OQ55" s="642"/>
      <c r="OR55" s="642"/>
      <c r="OS55" s="642"/>
      <c r="OT55" s="642"/>
    </row>
    <row r="56" spans="3:410" ht="45" customHeight="1" x14ac:dyDescent="0.25">
      <c r="C56" s="292" t="s">
        <v>112</v>
      </c>
      <c r="D56" s="292" t="s">
        <v>113</v>
      </c>
      <c r="E56" s="51" t="s">
        <v>119</v>
      </c>
      <c r="F56" s="301" t="s">
        <v>120</v>
      </c>
      <c r="G56" s="357" t="s">
        <v>121</v>
      </c>
      <c r="H56" s="281" t="s">
        <v>122</v>
      </c>
      <c r="I56" s="357" t="s">
        <v>123</v>
      </c>
      <c r="J56" s="281" t="s">
        <v>124</v>
      </c>
      <c r="K56" s="357" t="s">
        <v>125</v>
      </c>
      <c r="L56" s="281" t="s">
        <v>126</v>
      </c>
      <c r="M56" s="357" t="s">
        <v>127</v>
      </c>
      <c r="N56" s="281" t="s">
        <v>128</v>
      </c>
      <c r="O56" s="357" t="s">
        <v>129</v>
      </c>
      <c r="P56" s="357" t="s">
        <v>130</v>
      </c>
      <c r="Q56" s="357" t="s">
        <v>131</v>
      </c>
      <c r="R56" s="357" t="s">
        <v>132</v>
      </c>
      <c r="S56" s="357" t="s">
        <v>133</v>
      </c>
      <c r="T56" s="357" t="s">
        <v>134</v>
      </c>
      <c r="U56" s="359" t="s">
        <v>28</v>
      </c>
      <c r="V56" s="359" t="s">
        <v>29</v>
      </c>
      <c r="W56" s="359" t="s">
        <v>135</v>
      </c>
      <c r="X56" s="359" t="s">
        <v>136</v>
      </c>
      <c r="Y56" s="359" t="s">
        <v>137</v>
      </c>
      <c r="Z56" s="302" t="s">
        <v>138</v>
      </c>
      <c r="AA56" s="360" t="s">
        <v>139</v>
      </c>
      <c r="AB56" s="302" t="s">
        <v>140</v>
      </c>
      <c r="AC56" s="360" t="s">
        <v>141</v>
      </c>
      <c r="AD56" s="302" t="s">
        <v>142</v>
      </c>
      <c r="AE56" s="360" t="s">
        <v>143</v>
      </c>
      <c r="AF56" s="302" t="s">
        <v>144</v>
      </c>
      <c r="AG56" s="360" t="s">
        <v>145</v>
      </c>
      <c r="AH56" s="302" t="s">
        <v>146</v>
      </c>
      <c r="AI56" s="360" t="s">
        <v>147</v>
      </c>
      <c r="AJ56" s="360" t="s">
        <v>148</v>
      </c>
      <c r="AK56" s="360" t="s">
        <v>149</v>
      </c>
      <c r="AL56" s="360" t="s">
        <v>150</v>
      </c>
      <c r="AM56" s="360" t="s">
        <v>151</v>
      </c>
      <c r="AN56" s="360" t="s">
        <v>152</v>
      </c>
      <c r="AO56" s="361" t="s">
        <v>153</v>
      </c>
      <c r="AP56" s="361" t="s">
        <v>154</v>
      </c>
      <c r="AQ56" s="361" t="s">
        <v>155</v>
      </c>
      <c r="AR56" s="361" t="s">
        <v>156</v>
      </c>
      <c r="AS56" s="361" t="s">
        <v>157</v>
      </c>
      <c r="AT56" s="301" t="s">
        <v>158</v>
      </c>
      <c r="AU56" s="357" t="s">
        <v>159</v>
      </c>
      <c r="AV56" s="301" t="s">
        <v>160</v>
      </c>
      <c r="AW56" s="357" t="s">
        <v>161</v>
      </c>
      <c r="AX56" s="301" t="s">
        <v>162</v>
      </c>
      <c r="AY56" s="357" t="s">
        <v>163</v>
      </c>
      <c r="AZ56" s="301" t="s">
        <v>164</v>
      </c>
      <c r="BA56" s="357" t="s">
        <v>165</v>
      </c>
      <c r="BB56" s="301" t="s">
        <v>166</v>
      </c>
      <c r="BC56" s="357" t="s">
        <v>167</v>
      </c>
      <c r="BD56" s="357" t="s">
        <v>168</v>
      </c>
      <c r="BE56" s="357" t="s">
        <v>169</v>
      </c>
      <c r="BF56" s="357" t="s">
        <v>170</v>
      </c>
      <c r="BG56" s="357" t="s">
        <v>171</v>
      </c>
      <c r="BH56" s="357" t="s">
        <v>172</v>
      </c>
      <c r="BI56" s="357" t="s">
        <v>173</v>
      </c>
      <c r="BJ56" s="357" t="s">
        <v>174</v>
      </c>
      <c r="BK56" s="357" t="s">
        <v>175</v>
      </c>
      <c r="BL56" s="357" t="s">
        <v>176</v>
      </c>
      <c r="BM56" s="357" t="s">
        <v>177</v>
      </c>
      <c r="BN56" s="302" t="s">
        <v>178</v>
      </c>
      <c r="BO56" s="360" t="s">
        <v>179</v>
      </c>
      <c r="BP56" s="302" t="s">
        <v>180</v>
      </c>
      <c r="BQ56" s="360" t="s">
        <v>181</v>
      </c>
      <c r="BR56" s="302" t="s">
        <v>182</v>
      </c>
      <c r="BS56" s="360" t="s">
        <v>183</v>
      </c>
      <c r="BT56" s="302" t="s">
        <v>184</v>
      </c>
      <c r="BU56" s="360" t="s">
        <v>185</v>
      </c>
      <c r="BV56" s="302" t="s">
        <v>186</v>
      </c>
      <c r="BW56" s="360" t="s">
        <v>187</v>
      </c>
      <c r="BX56" s="360" t="s">
        <v>188</v>
      </c>
      <c r="BY56" s="360" t="s">
        <v>189</v>
      </c>
      <c r="BZ56" s="360" t="s">
        <v>190</v>
      </c>
      <c r="CA56" s="360" t="s">
        <v>191</v>
      </c>
      <c r="CB56" s="360" t="s">
        <v>192</v>
      </c>
      <c r="CC56" s="360" t="s">
        <v>193</v>
      </c>
      <c r="CD56" s="360" t="s">
        <v>194</v>
      </c>
      <c r="CE56" s="360" t="s">
        <v>195</v>
      </c>
      <c r="CF56" s="360" t="s">
        <v>196</v>
      </c>
      <c r="CG56" s="360" t="s">
        <v>197</v>
      </c>
      <c r="CH56" s="301" t="s">
        <v>198</v>
      </c>
      <c r="CI56" s="357" t="s">
        <v>199</v>
      </c>
      <c r="CJ56" s="301" t="s">
        <v>200</v>
      </c>
      <c r="CK56" s="357" t="s">
        <v>201</v>
      </c>
      <c r="CL56" s="301" t="s">
        <v>202</v>
      </c>
      <c r="CM56" s="357" t="s">
        <v>203</v>
      </c>
      <c r="CN56" s="301" t="s">
        <v>204</v>
      </c>
      <c r="CO56" s="357" t="s">
        <v>205</v>
      </c>
      <c r="CP56" s="301" t="s">
        <v>206</v>
      </c>
      <c r="CQ56" s="357" t="s">
        <v>207</v>
      </c>
      <c r="CR56" s="357" t="s">
        <v>208</v>
      </c>
      <c r="CS56" s="357" t="s">
        <v>209</v>
      </c>
      <c r="CT56" s="357" t="s">
        <v>210</v>
      </c>
      <c r="CU56" s="357" t="s">
        <v>211</v>
      </c>
      <c r="CV56" s="357" t="s">
        <v>212</v>
      </c>
      <c r="CW56" s="357" t="s">
        <v>213</v>
      </c>
      <c r="CX56" s="357" t="s">
        <v>214</v>
      </c>
      <c r="CY56" s="357" t="s">
        <v>215</v>
      </c>
      <c r="CZ56" s="357" t="s">
        <v>216</v>
      </c>
      <c r="DA56" s="357" t="s">
        <v>217</v>
      </c>
      <c r="DB56" s="302" t="s">
        <v>218</v>
      </c>
      <c r="DC56" s="360" t="s">
        <v>219</v>
      </c>
      <c r="DD56" s="302" t="s">
        <v>220</v>
      </c>
      <c r="DE56" s="360" t="s">
        <v>221</v>
      </c>
      <c r="DF56" s="302" t="s">
        <v>222</v>
      </c>
      <c r="DG56" s="360" t="s">
        <v>223</v>
      </c>
      <c r="DH56" s="302" t="s">
        <v>224</v>
      </c>
      <c r="DI56" s="360" t="s">
        <v>225</v>
      </c>
      <c r="DJ56" s="302" t="s">
        <v>226</v>
      </c>
      <c r="DK56" s="360" t="s">
        <v>227</v>
      </c>
      <c r="DL56" s="360" t="s">
        <v>228</v>
      </c>
      <c r="DM56" s="360" t="s">
        <v>229</v>
      </c>
      <c r="DN56" s="360" t="s">
        <v>230</v>
      </c>
      <c r="DO56" s="360" t="s">
        <v>231</v>
      </c>
      <c r="DP56" s="360" t="s">
        <v>232</v>
      </c>
      <c r="DQ56" s="362" t="s">
        <v>233</v>
      </c>
      <c r="DR56" s="362" t="s">
        <v>234</v>
      </c>
      <c r="DS56" s="362" t="s">
        <v>235</v>
      </c>
      <c r="DT56" s="362" t="s">
        <v>236</v>
      </c>
      <c r="DU56" s="362" t="s">
        <v>237</v>
      </c>
      <c r="DV56" s="301" t="s">
        <v>238</v>
      </c>
      <c r="DW56" s="357" t="s">
        <v>239</v>
      </c>
      <c r="DX56" s="301" t="s">
        <v>240</v>
      </c>
      <c r="DY56" s="357" t="s">
        <v>241</v>
      </c>
      <c r="DZ56" s="301" t="s">
        <v>242</v>
      </c>
      <c r="EA56" s="357" t="s">
        <v>243</v>
      </c>
      <c r="EB56" s="301" t="s">
        <v>244</v>
      </c>
      <c r="EC56" s="357" t="s">
        <v>245</v>
      </c>
      <c r="ED56" s="301" t="s">
        <v>246</v>
      </c>
      <c r="EE56" s="357" t="s">
        <v>247</v>
      </c>
      <c r="EF56" s="357" t="s">
        <v>248</v>
      </c>
      <c r="EG56" s="357" t="s">
        <v>249</v>
      </c>
      <c r="EH56" s="357" t="s">
        <v>250</v>
      </c>
      <c r="EI56" s="357" t="s">
        <v>251</v>
      </c>
      <c r="EJ56" s="357" t="s">
        <v>252</v>
      </c>
      <c r="EK56" s="357" t="s">
        <v>253</v>
      </c>
      <c r="EL56" s="357" t="s">
        <v>254</v>
      </c>
      <c r="EM56" s="357" t="s">
        <v>255</v>
      </c>
      <c r="EN56" s="357" t="s">
        <v>256</v>
      </c>
      <c r="EO56" s="357" t="s">
        <v>257</v>
      </c>
      <c r="EP56" s="302" t="s">
        <v>258</v>
      </c>
      <c r="EQ56" s="360" t="s">
        <v>259</v>
      </c>
      <c r="ER56" s="302" t="s">
        <v>260</v>
      </c>
      <c r="ES56" s="360" t="s">
        <v>261</v>
      </c>
      <c r="ET56" s="302" t="s">
        <v>262</v>
      </c>
      <c r="EU56" s="360" t="s">
        <v>263</v>
      </c>
      <c r="EV56" s="302" t="s">
        <v>264</v>
      </c>
      <c r="EW56" s="360" t="s">
        <v>265</v>
      </c>
      <c r="EX56" s="302" t="s">
        <v>266</v>
      </c>
      <c r="EY56" s="360" t="s">
        <v>267</v>
      </c>
      <c r="EZ56" s="360" t="s">
        <v>268</v>
      </c>
      <c r="FA56" s="360" t="s">
        <v>269</v>
      </c>
      <c r="FB56" s="360" t="s">
        <v>270</v>
      </c>
      <c r="FC56" s="360" t="s">
        <v>271</v>
      </c>
      <c r="FD56" s="360" t="s">
        <v>272</v>
      </c>
      <c r="FE56" s="360" t="s">
        <v>273</v>
      </c>
      <c r="FF56" s="360" t="s">
        <v>274</v>
      </c>
      <c r="FG56" s="360" t="s">
        <v>275</v>
      </c>
      <c r="FH56" s="360" t="s">
        <v>276</v>
      </c>
      <c r="FI56" s="360" t="s">
        <v>277</v>
      </c>
      <c r="FJ56" s="301" t="s">
        <v>278</v>
      </c>
      <c r="FK56" s="357" t="s">
        <v>279</v>
      </c>
      <c r="FL56" s="301" t="s">
        <v>280</v>
      </c>
      <c r="FM56" s="357" t="s">
        <v>281</v>
      </c>
      <c r="FN56" s="301" t="s">
        <v>282</v>
      </c>
      <c r="FO56" s="357" t="s">
        <v>283</v>
      </c>
      <c r="FP56" s="301" t="s">
        <v>284</v>
      </c>
      <c r="FQ56" s="357" t="s">
        <v>285</v>
      </c>
      <c r="FR56" s="301" t="s">
        <v>286</v>
      </c>
      <c r="FS56" s="357" t="s">
        <v>287</v>
      </c>
      <c r="FT56" s="357" t="s">
        <v>288</v>
      </c>
      <c r="FU56" s="357" t="s">
        <v>289</v>
      </c>
      <c r="FV56" s="357" t="s">
        <v>290</v>
      </c>
      <c r="FW56" s="357" t="s">
        <v>291</v>
      </c>
      <c r="FX56" s="357" t="s">
        <v>292</v>
      </c>
      <c r="FY56" s="357" t="s">
        <v>293</v>
      </c>
      <c r="FZ56" s="357" t="s">
        <v>294</v>
      </c>
      <c r="GA56" s="357" t="s">
        <v>295</v>
      </c>
      <c r="GB56" s="357" t="s">
        <v>296</v>
      </c>
      <c r="GC56" s="357" t="s">
        <v>297</v>
      </c>
      <c r="GD56" s="302" t="s">
        <v>298</v>
      </c>
      <c r="GE56" s="360" t="s">
        <v>299</v>
      </c>
      <c r="GF56" s="302" t="s">
        <v>300</v>
      </c>
      <c r="GG56" s="360" t="s">
        <v>301</v>
      </c>
      <c r="GH56" s="302" t="s">
        <v>302</v>
      </c>
      <c r="GI56" s="360" t="s">
        <v>303</v>
      </c>
      <c r="GJ56" s="302" t="s">
        <v>304</v>
      </c>
      <c r="GK56" s="360" t="s">
        <v>305</v>
      </c>
      <c r="GL56" s="302" t="s">
        <v>306</v>
      </c>
      <c r="GM56" s="360" t="s">
        <v>307</v>
      </c>
      <c r="GN56" s="360" t="s">
        <v>308</v>
      </c>
      <c r="GO56" s="360" t="s">
        <v>309</v>
      </c>
      <c r="GP56" s="360" t="s">
        <v>310</v>
      </c>
      <c r="GQ56" s="360" t="s">
        <v>311</v>
      </c>
      <c r="GR56" s="360" t="s">
        <v>312</v>
      </c>
      <c r="GS56" s="360" t="s">
        <v>313</v>
      </c>
      <c r="GT56" s="360" t="s">
        <v>314</v>
      </c>
      <c r="GU56" s="360" t="s">
        <v>315</v>
      </c>
      <c r="GV56" s="360" t="s">
        <v>316</v>
      </c>
      <c r="GW56" s="360" t="s">
        <v>317</v>
      </c>
      <c r="GX56" s="301" t="s">
        <v>318</v>
      </c>
      <c r="GY56" s="357" t="s">
        <v>319</v>
      </c>
      <c r="GZ56" s="301" t="s">
        <v>320</v>
      </c>
      <c r="HA56" s="357" t="s">
        <v>321</v>
      </c>
      <c r="HB56" s="301" t="s">
        <v>322</v>
      </c>
      <c r="HC56" s="357" t="s">
        <v>323</v>
      </c>
      <c r="HD56" s="301" t="s">
        <v>324</v>
      </c>
      <c r="HE56" s="357" t="s">
        <v>325</v>
      </c>
      <c r="HF56" s="301" t="s">
        <v>326</v>
      </c>
      <c r="HG56" s="357" t="s">
        <v>327</v>
      </c>
      <c r="HH56" s="357" t="s">
        <v>328</v>
      </c>
      <c r="HI56" s="357" t="s">
        <v>329</v>
      </c>
      <c r="HJ56" s="357" t="s">
        <v>330</v>
      </c>
      <c r="HK56" s="357" t="s">
        <v>331</v>
      </c>
      <c r="HL56" s="357" t="s">
        <v>332</v>
      </c>
      <c r="HM56" s="357" t="s">
        <v>333</v>
      </c>
      <c r="HN56" s="357" t="s">
        <v>334</v>
      </c>
      <c r="HO56" s="357" t="s">
        <v>335</v>
      </c>
      <c r="HP56" s="357" t="s">
        <v>336</v>
      </c>
      <c r="HQ56" s="357" t="s">
        <v>337</v>
      </c>
      <c r="HR56" s="302" t="s">
        <v>338</v>
      </c>
      <c r="HS56" s="360" t="s">
        <v>339</v>
      </c>
      <c r="HT56" s="302" t="s">
        <v>340</v>
      </c>
      <c r="HU56" s="360" t="s">
        <v>341</v>
      </c>
      <c r="HV56" s="302" t="s">
        <v>342</v>
      </c>
      <c r="HW56" s="360" t="s">
        <v>343</v>
      </c>
      <c r="HX56" s="302" t="s">
        <v>344</v>
      </c>
      <c r="HY56" s="360" t="s">
        <v>345</v>
      </c>
      <c r="HZ56" s="302" t="s">
        <v>346</v>
      </c>
      <c r="IA56" s="360" t="s">
        <v>347</v>
      </c>
      <c r="IB56" s="360" t="s">
        <v>348</v>
      </c>
      <c r="IC56" s="360" t="s">
        <v>349</v>
      </c>
      <c r="ID56" s="360" t="s">
        <v>350</v>
      </c>
      <c r="IE56" s="360" t="s">
        <v>351</v>
      </c>
      <c r="IF56" s="360" t="s">
        <v>352</v>
      </c>
      <c r="IG56" s="360" t="s">
        <v>353</v>
      </c>
      <c r="IH56" s="360" t="s">
        <v>354</v>
      </c>
      <c r="II56" s="360" t="s">
        <v>355</v>
      </c>
      <c r="IJ56" s="360" t="s">
        <v>356</v>
      </c>
      <c r="IK56" s="360" t="s">
        <v>357</v>
      </c>
      <c r="IL56" s="301" t="s">
        <v>358</v>
      </c>
      <c r="IM56" s="358" t="s">
        <v>359</v>
      </c>
      <c r="IN56" s="301" t="s">
        <v>360</v>
      </c>
      <c r="IO56" s="357" t="s">
        <v>361</v>
      </c>
      <c r="IP56" s="301" t="s">
        <v>362</v>
      </c>
      <c r="IQ56" s="357" t="s">
        <v>363</v>
      </c>
      <c r="IR56" s="301" t="s">
        <v>364</v>
      </c>
      <c r="IS56" s="357" t="s">
        <v>365</v>
      </c>
      <c r="IT56" s="301" t="s">
        <v>366</v>
      </c>
      <c r="IU56" s="357" t="s">
        <v>367</v>
      </c>
      <c r="IV56" s="357" t="s">
        <v>368</v>
      </c>
      <c r="IW56" s="357" t="s">
        <v>369</v>
      </c>
      <c r="IX56" s="357" t="s">
        <v>370</v>
      </c>
      <c r="IY56" s="357" t="s">
        <v>371</v>
      </c>
      <c r="IZ56" s="357" t="s">
        <v>372</v>
      </c>
      <c r="JA56" s="357" t="s">
        <v>373</v>
      </c>
      <c r="JB56" s="357" t="s">
        <v>374</v>
      </c>
      <c r="JC56" s="357" t="s">
        <v>375</v>
      </c>
      <c r="JD56" s="357" t="s">
        <v>376</v>
      </c>
      <c r="JE56" s="357" t="s">
        <v>377</v>
      </c>
      <c r="JF56" s="302" t="s">
        <v>378</v>
      </c>
      <c r="JG56" s="360" t="s">
        <v>379</v>
      </c>
      <c r="JH56" s="302" t="s">
        <v>380</v>
      </c>
      <c r="JI56" s="360" t="s">
        <v>381</v>
      </c>
      <c r="JJ56" s="302" t="s">
        <v>382</v>
      </c>
      <c r="JK56" s="360" t="s">
        <v>383</v>
      </c>
      <c r="JL56" s="302" t="s">
        <v>384</v>
      </c>
      <c r="JM56" s="360" t="s">
        <v>385</v>
      </c>
      <c r="JN56" s="302" t="s">
        <v>386</v>
      </c>
      <c r="JO56" s="360" t="s">
        <v>387</v>
      </c>
      <c r="JP56" s="360" t="s">
        <v>388</v>
      </c>
      <c r="JQ56" s="360" t="s">
        <v>389</v>
      </c>
      <c r="JR56" s="360" t="s">
        <v>390</v>
      </c>
      <c r="JS56" s="360" t="s">
        <v>391</v>
      </c>
      <c r="JT56" s="360" t="s">
        <v>392</v>
      </c>
      <c r="JU56" s="360" t="s">
        <v>393</v>
      </c>
      <c r="JV56" s="360" t="s">
        <v>394</v>
      </c>
      <c r="JW56" s="360" t="s">
        <v>395</v>
      </c>
      <c r="JX56" s="360" t="s">
        <v>396</v>
      </c>
      <c r="JY56" s="360" t="s">
        <v>397</v>
      </c>
      <c r="JZ56" s="301" t="s">
        <v>398</v>
      </c>
      <c r="KA56" s="357" t="s">
        <v>399</v>
      </c>
      <c r="KB56" s="301" t="s">
        <v>400</v>
      </c>
      <c r="KC56" s="357" t="s">
        <v>401</v>
      </c>
      <c r="KD56" s="301" t="s">
        <v>402</v>
      </c>
      <c r="KE56" s="357" t="s">
        <v>403</v>
      </c>
      <c r="KF56" s="301" t="s">
        <v>404</v>
      </c>
      <c r="KG56" s="357" t="s">
        <v>405</v>
      </c>
      <c r="KH56" s="301" t="s">
        <v>406</v>
      </c>
      <c r="KI56" s="357" t="s">
        <v>407</v>
      </c>
      <c r="KJ56" s="357" t="s">
        <v>408</v>
      </c>
      <c r="KK56" s="357" t="s">
        <v>409</v>
      </c>
      <c r="KL56" s="357" t="s">
        <v>410</v>
      </c>
      <c r="KM56" s="357" t="s">
        <v>411</v>
      </c>
      <c r="KN56" s="357" t="s">
        <v>412</v>
      </c>
      <c r="KO56" s="357" t="s">
        <v>413</v>
      </c>
      <c r="KP56" s="357" t="s">
        <v>414</v>
      </c>
      <c r="KQ56" s="357" t="s">
        <v>415</v>
      </c>
      <c r="KR56" s="357" t="s">
        <v>416</v>
      </c>
      <c r="KS56" s="357" t="s">
        <v>417</v>
      </c>
      <c r="KT56" s="302" t="s">
        <v>418</v>
      </c>
      <c r="KU56" s="360" t="s">
        <v>419</v>
      </c>
      <c r="KV56" s="302" t="s">
        <v>420</v>
      </c>
      <c r="KW56" s="360" t="s">
        <v>421</v>
      </c>
      <c r="KX56" s="302" t="s">
        <v>422</v>
      </c>
      <c r="KY56" s="360" t="s">
        <v>423</v>
      </c>
      <c r="KZ56" s="302" t="s">
        <v>424</v>
      </c>
      <c r="LA56" s="360" t="s">
        <v>425</v>
      </c>
      <c r="LB56" s="302" t="s">
        <v>426</v>
      </c>
      <c r="LC56" s="360" t="s">
        <v>427</v>
      </c>
      <c r="LD56" s="360" t="s">
        <v>428</v>
      </c>
      <c r="LE56" s="360" t="s">
        <v>429</v>
      </c>
      <c r="LF56" s="360" t="s">
        <v>430</v>
      </c>
      <c r="LG56" s="360" t="s">
        <v>431</v>
      </c>
      <c r="LH56" s="360" t="s">
        <v>432</v>
      </c>
      <c r="LI56" s="360" t="s">
        <v>433</v>
      </c>
      <c r="LJ56" s="360" t="s">
        <v>434</v>
      </c>
      <c r="LK56" s="360" t="s">
        <v>435</v>
      </c>
      <c r="LL56" s="360" t="s">
        <v>436</v>
      </c>
      <c r="LM56" s="360" t="s">
        <v>437</v>
      </c>
      <c r="LN56" s="301" t="s">
        <v>438</v>
      </c>
      <c r="LO56" s="357" t="s">
        <v>439</v>
      </c>
      <c r="LP56" s="301" t="s">
        <v>440</v>
      </c>
      <c r="LQ56" s="357" t="s">
        <v>441</v>
      </c>
      <c r="LR56" s="301" t="s">
        <v>442</v>
      </c>
      <c r="LS56" s="357" t="s">
        <v>443</v>
      </c>
      <c r="LT56" s="301" t="s">
        <v>444</v>
      </c>
      <c r="LU56" s="357" t="s">
        <v>445</v>
      </c>
      <c r="LV56" s="301" t="s">
        <v>446</v>
      </c>
      <c r="LW56" s="357" t="s">
        <v>447</v>
      </c>
      <c r="LX56" s="357" t="s">
        <v>448</v>
      </c>
      <c r="LY56" s="357" t="s">
        <v>449</v>
      </c>
      <c r="LZ56" s="357" t="s">
        <v>450</v>
      </c>
      <c r="MA56" s="357" t="s">
        <v>451</v>
      </c>
      <c r="MB56" s="357" t="s">
        <v>452</v>
      </c>
      <c r="MC56" s="357" t="s">
        <v>453</v>
      </c>
      <c r="MD56" s="357" t="s">
        <v>454</v>
      </c>
      <c r="ME56" s="357" t="s">
        <v>455</v>
      </c>
      <c r="MF56" s="357" t="s">
        <v>456</v>
      </c>
      <c r="MG56" s="357" t="s">
        <v>457</v>
      </c>
      <c r="MH56" s="302" t="s">
        <v>458</v>
      </c>
      <c r="MI56" s="360" t="s">
        <v>459</v>
      </c>
      <c r="MJ56" s="302" t="s">
        <v>460</v>
      </c>
      <c r="MK56" s="360" t="s">
        <v>461</v>
      </c>
      <c r="ML56" s="302" t="s">
        <v>462</v>
      </c>
      <c r="MM56" s="360" t="s">
        <v>463</v>
      </c>
      <c r="MN56" s="302" t="s">
        <v>464</v>
      </c>
      <c r="MO56" s="360" t="s">
        <v>465</v>
      </c>
      <c r="MP56" s="302" t="s">
        <v>466</v>
      </c>
      <c r="MQ56" s="360" t="s">
        <v>467</v>
      </c>
      <c r="MR56" s="360" t="s">
        <v>468</v>
      </c>
      <c r="MS56" s="360" t="s">
        <v>469</v>
      </c>
      <c r="MT56" s="360" t="s">
        <v>470</v>
      </c>
      <c r="MU56" s="360" t="s">
        <v>471</v>
      </c>
      <c r="MV56" s="360" t="s">
        <v>472</v>
      </c>
      <c r="MW56" s="360" t="s">
        <v>473</v>
      </c>
      <c r="MX56" s="360" t="s">
        <v>474</v>
      </c>
      <c r="MY56" s="360" t="s">
        <v>475</v>
      </c>
      <c r="MZ56" s="360" t="s">
        <v>476</v>
      </c>
      <c r="NA56" s="360" t="s">
        <v>477</v>
      </c>
      <c r="NB56" s="301" t="s">
        <v>478</v>
      </c>
      <c r="NC56" s="357" t="s">
        <v>479</v>
      </c>
      <c r="ND56" s="301" t="s">
        <v>480</v>
      </c>
      <c r="NE56" s="357" t="s">
        <v>481</v>
      </c>
      <c r="NF56" s="301" t="s">
        <v>482</v>
      </c>
      <c r="NG56" s="357" t="s">
        <v>483</v>
      </c>
      <c r="NH56" s="301" t="s">
        <v>484</v>
      </c>
      <c r="NI56" s="357" t="s">
        <v>485</v>
      </c>
      <c r="NJ56" s="301" t="s">
        <v>486</v>
      </c>
      <c r="NK56" s="357" t="s">
        <v>487</v>
      </c>
      <c r="NL56" s="357" t="s">
        <v>488</v>
      </c>
      <c r="NM56" s="357" t="s">
        <v>489</v>
      </c>
      <c r="NN56" s="357" t="s">
        <v>490</v>
      </c>
      <c r="NO56" s="357" t="s">
        <v>491</v>
      </c>
      <c r="NP56" s="357" t="s">
        <v>492</v>
      </c>
      <c r="NQ56" s="357" t="s">
        <v>493</v>
      </c>
      <c r="NR56" s="357" t="s">
        <v>494</v>
      </c>
      <c r="NS56" s="357" t="s">
        <v>495</v>
      </c>
      <c r="NT56" s="357" t="s">
        <v>496</v>
      </c>
      <c r="NU56" s="357" t="s">
        <v>497</v>
      </c>
      <c r="NV56" s="302" t="s">
        <v>498</v>
      </c>
      <c r="NW56" s="360" t="s">
        <v>499</v>
      </c>
      <c r="NX56" s="302" t="s">
        <v>500</v>
      </c>
      <c r="NY56" s="360" t="s">
        <v>501</v>
      </c>
      <c r="NZ56" s="302" t="s">
        <v>502</v>
      </c>
      <c r="OA56" s="360" t="s">
        <v>503</v>
      </c>
      <c r="OB56" s="302" t="s">
        <v>504</v>
      </c>
      <c r="OC56" s="360" t="s">
        <v>505</v>
      </c>
      <c r="OD56" s="302" t="s">
        <v>506</v>
      </c>
      <c r="OE56" s="360" t="s">
        <v>507</v>
      </c>
      <c r="OF56" s="360" t="s">
        <v>508</v>
      </c>
      <c r="OG56" s="360" t="s">
        <v>509</v>
      </c>
      <c r="OH56" s="360" t="s">
        <v>510</v>
      </c>
      <c r="OI56" s="360" t="s">
        <v>511</v>
      </c>
      <c r="OJ56" s="360" t="s">
        <v>512</v>
      </c>
      <c r="OK56" s="360" t="s">
        <v>513</v>
      </c>
      <c r="OL56" s="360" t="s">
        <v>514</v>
      </c>
      <c r="OM56" s="360" t="s">
        <v>515</v>
      </c>
      <c r="ON56" s="360" t="s">
        <v>516</v>
      </c>
      <c r="OO56" s="363" t="s">
        <v>517</v>
      </c>
      <c r="OP56" s="355" t="s">
        <v>518</v>
      </c>
      <c r="OQ56" s="355" t="s">
        <v>519</v>
      </c>
      <c r="OR56" s="355" t="s">
        <v>520</v>
      </c>
      <c r="OS56" s="355" t="s">
        <v>521</v>
      </c>
      <c r="OT56" s="355" t="s">
        <v>522</v>
      </c>
    </row>
    <row r="57" spans="3:410" s="495" customFormat="1" ht="15.75" x14ac:dyDescent="0.25">
      <c r="C57" s="503"/>
      <c r="D57" s="503" t="e">
        <f>VLOOKUP(Tabla1[[#This Row],[CÓDIGO DEL PRODUCTO Y/O SERVICIO ]],Tabla3[],2,0)</f>
        <v>#N/A</v>
      </c>
      <c r="E57" s="503"/>
      <c r="F57" s="504" t="e">
        <f>VLOOKUP(Tabla1[[#This Row],[CÓDIGO DEL PRODUCTO Y/O SERVICIO ]],Tabla3[#All],3,0)</f>
        <v>#N/A</v>
      </c>
      <c r="G57" s="504" t="e">
        <f>Tabla1[[#This Row],[UNIDADES PRODUCIDAS AÑO 1 ]]*F43</f>
        <v>#N/A</v>
      </c>
      <c r="H57" s="505" t="e">
        <f>VLOOKUP(Tabla1[[#This Row],[CÓDIGO DEL PRODUCTO Y/O SERVICIO ]],Tabla3[],9,0)</f>
        <v>#N/A</v>
      </c>
      <c r="I57" s="504" t="e">
        <f>Tabla1[[#This Row],[CANTIDADES A UTILIZAR EN EL AÑO 1]]*(1+Tabla1[[#This Row],[CAMBIO PORCENTUAL EN UNIDADES VENDIDAS AÑO 2]])</f>
        <v>#N/A</v>
      </c>
      <c r="J57" s="505" t="e">
        <f>VLOOKUP(Tabla1[[#This Row],[CÓDIGO DEL PRODUCTO Y/O SERVICIO ]],Tabla3[],13,0)</f>
        <v>#N/A</v>
      </c>
      <c r="K57" s="504" t="e">
        <f>Tabla1[[#This Row],[CANTIDADES A UTILIZAR EN EL AÑO 2]]*(1+Tabla1[[#This Row],[CAMBIO PORCENTUAL EN UNIDADES VENDIDAS AÑO 3]])</f>
        <v>#N/A</v>
      </c>
      <c r="L57" s="505" t="e">
        <f>VLOOKUP(Tabla1[[#This Row],[CÓDIGO DEL PRODUCTO Y/O SERVICIO ]],Tabla3[],17,0)</f>
        <v>#N/A</v>
      </c>
      <c r="M57" s="504" t="e">
        <f>Tabla1[[#This Row],[CANTIDADES A UTILIZAR EN EL AÑO 3]]*(1+Tabla1[[#This Row],[CAMBIO PORCENTUAL EN UNIDADES VENDIDAS AÑO 4]])</f>
        <v>#N/A</v>
      </c>
      <c r="N57" s="505" t="e">
        <f>VLOOKUP(Tabla1[[#This Row],[CÓDIGO DEL PRODUCTO Y/O SERVICIO ]],Tabla3[],21,0)</f>
        <v>#N/A</v>
      </c>
      <c r="O57" s="504" t="e">
        <f>Tabla1[[#This Row],[CANTIDADES A UTILIZAR EN EL AÑO 4]]*(1+Tabla1[[#This Row],[CAMBIO PORCENTUAL EN UNIDADES VENDIDAS AÑO 5]])</f>
        <v>#N/A</v>
      </c>
      <c r="P57" s="503" t="e">
        <f>IF(Tabla1[[#This Row],[CANTIDADES A UTILIZAR EN EL AÑO 1]]=0,0,Tabla1[[#This Row],[CANTIDADES A UTILIZAR EN EL AÑO 1]]*1/Tabla1[[#This Row],[UNIDADES PRODUCIDAS AÑO 1 ]])</f>
        <v>#N/A</v>
      </c>
      <c r="Q57" s="506">
        <f>$D$16*(1+BASES!$E$14)</f>
        <v>0</v>
      </c>
      <c r="R57" s="506">
        <f>Tabla1[[#This Row],[COSTO UNITARIO AÑO 2]]*(1+BASES!$F$14)</f>
        <v>0</v>
      </c>
      <c r="S57" s="506">
        <f>Tabla1[[#This Row],[COSTO UNITARIO AÑO 3]]*(1+BASES!$G$14)</f>
        <v>0</v>
      </c>
      <c r="T57" s="506">
        <f>Tabla1[[#This Row],[COSTO UNITARIO AÑO 4]]*(1+BASES!$H$14)</f>
        <v>0</v>
      </c>
      <c r="U57" s="506" t="e">
        <f>Tabla1[[#This Row],[COSTO POR UNIDAD DE PRODUCTO (1)]]*$D$16*VLOOKUP(Tabla1[[#This Row],[CÓDIGO DEL PRODUCTO Y/O SERVICIO ]],Tabla3[],3,0)</f>
        <v>#N/A</v>
      </c>
      <c r="V57" s="506" t="e">
        <f>Tabla1[[#This Row],[COSTO POR UNIDAD DE PRODUCTO (1)]]*Tabla1[[#This Row],[COSTO UNITARIO AÑO 2]]*VLOOKUP(Tabla1[[#This Row],[CÓDIGO DEL PRODUCTO Y/O SERVICIO ]],Tabla3[],6,0)</f>
        <v>#N/A</v>
      </c>
      <c r="W57" s="506" t="e">
        <f>Tabla1[[#This Row],[COSTO POR UNIDAD DE PRODUCTO (1)]]*Tabla1[[#This Row],[COSTO UNITARIO AÑO 3]]*VLOOKUP(Tabla1[[#This Row],[CÓDIGO DEL PRODUCTO Y/O SERVICIO ]],Tabla3[],10,0)</f>
        <v>#N/A</v>
      </c>
      <c r="X57" s="506" t="e">
        <f>Tabla1[[#This Row],[COSTO POR UNIDAD DE PRODUCTO (1)]]*Tabla1[[#This Row],[COSTO UNITARIO AÑO 4]]*VLOOKUP(Tabla1[[#This Row],[CÓDIGO DEL PRODUCTO Y/O SERVICIO ]],Tabla3[],14,0)</f>
        <v>#N/A</v>
      </c>
      <c r="Y57" s="506" t="e">
        <f>Tabla1[[#This Row],[COSTO POR UNIDAD DE PRODUCTO (1)]]*Tabla1[[#This Row],[COSTO UNITARIO AÑO 5]]*VLOOKUP(Tabla1[[#This Row],[CÓDIGO DEL PRODUCTO Y/O SERVICIO ]],Tabla3[],18,0)</f>
        <v>#N/A</v>
      </c>
      <c r="Z57" s="507" t="e">
        <f>VLOOKUP(Tabla1[[#This Row],[CÓDIGO DEL PRODUCTO Y/O SERVICIO ]],Tabla3[],3,0)</f>
        <v>#N/A</v>
      </c>
      <c r="AA57" s="504" t="e">
        <f>G43*Tabla1[[#This Row],[UNIDADES PRODUCIDAS AÑO 1 2]]</f>
        <v>#N/A</v>
      </c>
      <c r="AB57" s="505" t="e">
        <f>VLOOKUP(Tabla1[[#This Row],[CÓDIGO DEL PRODUCTO Y/O SERVICIO ]],Tabla3[],9,0)</f>
        <v>#N/A</v>
      </c>
      <c r="AC57" s="504" t="e">
        <f>Tabla1[[#This Row],[CANTIDADES A UTILIZAR EN EL AÑO 1 2]]*(1+Tabla1[[#This Row],[CAMBIO PORCENTUAL EN UNIDADES VENDIDAS AÑO 2 2]])</f>
        <v>#N/A</v>
      </c>
      <c r="AD57" s="505" t="e">
        <f>VLOOKUP(Tabla1[[#This Row],[CÓDIGO DEL PRODUCTO Y/O SERVICIO ]],Tabla3[],13,0)</f>
        <v>#N/A</v>
      </c>
      <c r="AE57" s="504" t="e">
        <f>Tabla1[[#This Row],[CANTIDADES A UTILIZAR  AÑO 2 2]]*(1+Tabla1[[#This Row],[CAMBIO PORCENTUAL EN UNIDADES VENDIDAS AÑO 3 2]])</f>
        <v>#N/A</v>
      </c>
      <c r="AF57" s="505" t="e">
        <f>VLOOKUP(Tabla1[[#This Row],[CÓDIGO DEL PRODUCTO Y/O SERVICIO ]],Tabla3[],17,0)</f>
        <v>#N/A</v>
      </c>
      <c r="AG57" s="504" t="e">
        <f>Tabla1[[#This Row],[CANTIDADES A UTILIZAR  AÑO 3 2]]*(1+Tabla1[[#This Row],[CAMBIO PORCENTUAL EN UNIDADES VENDIDAS AÑO 4 2]])</f>
        <v>#N/A</v>
      </c>
      <c r="AH57" s="505" t="e">
        <f>VLOOKUP(Tabla1[[#This Row],[CÓDIGO DEL PRODUCTO Y/O SERVICIO ]],Tabla3[],21,0)</f>
        <v>#N/A</v>
      </c>
      <c r="AI57" s="504" t="e">
        <f>Tabla1[[#This Row],[CANTIDADES A UTILIZAR  AÑO 4 2]]*(1+Tabla1[[#This Row],[CAMBIO PORCENTUAL EN UNIDADES VENDIDAS AÑO 5 2]])</f>
        <v>#N/A</v>
      </c>
      <c r="AJ57" s="506" t="e">
        <f>IF(Tabla1[[#This Row],[CANTIDADES A UTILIZAR EN EL AÑO 1 2]]=0,0,Tabla1[[#This Row],[CANTIDADES A UTILIZAR EN EL AÑO 1 2]]*1/Tabla1[[#This Row],[UNIDADES PRODUCIDAS AÑO 1 2]])</f>
        <v>#N/A</v>
      </c>
      <c r="AK57" s="506">
        <f>$D$17*(1+BASES!$E$14)</f>
        <v>0</v>
      </c>
      <c r="AL57" s="506">
        <f>Tabla1[[#This Row],[COSTO UNITARIO AÑO 2 2]]*(1+BASES!$F$14)</f>
        <v>0</v>
      </c>
      <c r="AM57" s="506">
        <f>Tabla1[[#This Row],[COSTO UNITARIO AÑO 3 2]]*(1+BASES!$G$14)</f>
        <v>0</v>
      </c>
      <c r="AN57" s="506">
        <f>Tabla1[[#This Row],[COSTO UNITARIO AÑO 4 2]]*(1+BASES!$H$14)</f>
        <v>0</v>
      </c>
      <c r="AO57" s="506" t="e">
        <f>Tabla1[[#This Row],[COSTO POR UNIDAD DE PRODUCTO (2)]]*$D$17*VLOOKUP(Tabla1[[#This Row],[CÓDIGO DEL PRODUCTO Y/O SERVICIO ]],Tabla3[],3,0)</f>
        <v>#N/A</v>
      </c>
      <c r="AP57" s="506" t="e">
        <f>Tabla1[[#This Row],[COSTO POR UNIDAD DE PRODUCTO (2)]]*Tabla1[[#This Row],[COSTO UNITARIO AÑO 2 2]]*VLOOKUP(Tabla1[[#This Row],[CÓDIGO DEL PRODUCTO Y/O SERVICIO ]],Tabla3[],6,0)</f>
        <v>#N/A</v>
      </c>
      <c r="AQ57" s="506" t="e">
        <f>Tabla1[[#This Row],[COSTO POR UNIDAD DE PRODUCTO (2)]]*Tabla1[[#This Row],[COSTO UNITARIO AÑO 3 2]]*VLOOKUP(Tabla1[[#This Row],[CÓDIGO DEL PRODUCTO Y/O SERVICIO ]],Tabla3[],10,0)</f>
        <v>#N/A</v>
      </c>
      <c r="AR57" s="506" t="e">
        <f>Tabla1[[#This Row],[COSTO POR UNIDAD DE PRODUCTO (2)]]*Tabla1[[#This Row],[COSTO UNITARIO AÑO 4 2]]*VLOOKUP(Tabla1[[#This Row],[CÓDIGO DEL PRODUCTO Y/O SERVICIO ]],Tabla3[],14,0)</f>
        <v>#N/A</v>
      </c>
      <c r="AS57" s="506" t="e">
        <f>Tabla1[[#This Row],[COSTO POR UNIDAD DE PRODUCTO (2)]]*Tabla1[[#This Row],[COSTO UNITARIO AÑO 5 2]]*VLOOKUP(Tabla1[[#This Row],[CÓDIGO DEL PRODUCTO Y/O SERVICIO ]],Tabla3[],18,0)</f>
        <v>#N/A</v>
      </c>
      <c r="AT57" s="504" t="e">
        <f>VLOOKUP(Tabla1[[#This Row],[CÓDIGO DEL PRODUCTO Y/O SERVICIO ]],Tabla3[],3,0)</f>
        <v>#N/A</v>
      </c>
      <c r="AU57" s="504" t="e">
        <f>H43*Tabla1[[#This Row],[UNIDADES PRODUCIDAS AÑO 1 3]]</f>
        <v>#N/A</v>
      </c>
      <c r="AV57" s="505" t="e">
        <f>VLOOKUP(Tabla1[[#This Row],[CÓDIGO DEL PRODUCTO Y/O SERVICIO ]],Tabla3[],9,0)</f>
        <v>#N/A</v>
      </c>
      <c r="AW57" s="504" t="e">
        <f>Tabla1[[#This Row],[CANTIDADES A UTILIZAR  AÑO 1 3]]*(1+Tabla1[[#This Row],[CAMBIO PORCENTUAL EN UNIDADES VENDIDAS AÑO 2 3]])</f>
        <v>#N/A</v>
      </c>
      <c r="AX57" s="505" t="e">
        <f>VLOOKUP(Tabla1[[#This Row],[CÓDIGO DEL PRODUCTO Y/O SERVICIO ]],Tabla3[],13,0)</f>
        <v>#N/A</v>
      </c>
      <c r="AY57" s="504" t="e">
        <f>Tabla1[[#This Row],[CANTIDADES A UTILIZAR  AÑO 2 3]]*(1+Tabla1[[#This Row],[CAMBIO PORCENTUAL EN UNIDADES VENDIDAS AÑO 3 3]])</f>
        <v>#N/A</v>
      </c>
      <c r="AZ57" s="505" t="e">
        <f>VLOOKUP(Tabla1[[#This Row],[CÓDIGO DEL PRODUCTO Y/O SERVICIO ]],Tabla3[],17,0)</f>
        <v>#N/A</v>
      </c>
      <c r="BA57" s="504" t="e">
        <f>Tabla1[[#This Row],[CANTIDADES A UTILIZAR  AÑO 3 3]]*(1+Tabla1[[#This Row],[CAMBIO PORCENTUAL EN UNIDADES VENDIDAS AÑO 4 3]])</f>
        <v>#N/A</v>
      </c>
      <c r="BB57" s="505" t="e">
        <f>VLOOKUP(Tabla1[[#This Row],[CÓDIGO DEL PRODUCTO Y/O SERVICIO ]],Tabla3[],21,0)</f>
        <v>#N/A</v>
      </c>
      <c r="BC57" s="504" t="e">
        <f>Tabla1[[#This Row],[CANTIDADES A UTILIZAR  AÑO 4 3]]*(1+Tabla1[[#This Row],[CAMBIO PORCENTUAL EN UNIDADES VENDIDAS AÑO 5 3]])</f>
        <v>#N/A</v>
      </c>
      <c r="BD57" s="506" t="e">
        <f>IF(Tabla1[[#This Row],[CANTIDADES A UTILIZAR  AÑO 1 3]]=0,0,Tabla1[[#This Row],[CANTIDADES A UTILIZAR  AÑO 1 3]]*1/Tabla1[[#This Row],[UNIDADES PRODUCIDAS AÑO 1 3]])</f>
        <v>#N/A</v>
      </c>
      <c r="BE57" s="506">
        <f>$D$18*(1+BASES!$E$14)</f>
        <v>0</v>
      </c>
      <c r="BF57" s="506">
        <f>Tabla1[[#This Row],[COSTO UNITARIO AÑO 2 3]]*(1+BASES!$F$14)</f>
        <v>0</v>
      </c>
      <c r="BG57" s="506">
        <f>Tabla1[[#This Row],[COSTO UNITARIO AÑO 3 3]]*(1+BASES!$G$14)</f>
        <v>0</v>
      </c>
      <c r="BH57" s="506">
        <f>Tabla1[[#This Row],[COSTO UNITARIO AÑO 4 3]]*(1+BASES!$H$14)</f>
        <v>0</v>
      </c>
      <c r="BI57" s="506" t="e">
        <f>Tabla1[[#This Row],[COSTO POR UNIDAD DE PRODUCTO (3)]]*$D$18*VLOOKUP(Tabla1[[#This Row],[CÓDIGO DEL PRODUCTO Y/O SERVICIO ]],Tabla3[],3,0)</f>
        <v>#N/A</v>
      </c>
      <c r="BJ57" s="506" t="e">
        <f>Tabla1[[#This Row],[COSTO POR UNIDAD DE PRODUCTO (3)]]*Tabla1[[#This Row],[COSTO UNITARIO AÑO 2 3]]*VLOOKUP(Tabla1[[#This Row],[CÓDIGO DEL PRODUCTO Y/O SERVICIO ]],Tabla3[],6,0)</f>
        <v>#N/A</v>
      </c>
      <c r="BK57" s="506" t="e">
        <f>Tabla1[[#This Row],[COSTO POR UNIDAD DE PRODUCTO (3)]]*Tabla1[[#This Row],[COSTO UNITARIO AÑO 3 3]]*VLOOKUP(Tabla1[[#This Row],[CÓDIGO DEL PRODUCTO Y/O SERVICIO ]],Tabla3[],10,0)</f>
        <v>#N/A</v>
      </c>
      <c r="BL57" s="506" t="e">
        <f>Tabla1[[#This Row],[COSTO POR UNIDAD DE PRODUCTO (3)]]*Tabla1[[#This Row],[COSTO UNITARIO AÑO 4 3]]*VLOOKUP(Tabla1[[#This Row],[CÓDIGO DEL PRODUCTO Y/O SERVICIO ]],Tabla3[],14,0)</f>
        <v>#N/A</v>
      </c>
      <c r="BM57" s="506" t="e">
        <f>Tabla1[[#This Row],[COSTO POR UNIDAD DE PRODUCTO (3)]]*Tabla1[[#This Row],[ COSTO UNITARIO AÑO 5 3]]*VLOOKUP(Tabla1[[#This Row],[CÓDIGO DEL PRODUCTO Y/O SERVICIO ]],Tabla3[],18,0)</f>
        <v>#N/A</v>
      </c>
      <c r="BN57" s="504" t="e">
        <f>VLOOKUP(Tabla1[[#This Row],[CÓDIGO DEL PRODUCTO Y/O SERVICIO ]],Tabla3[],3,0)</f>
        <v>#N/A</v>
      </c>
      <c r="BO57" s="504" t="e">
        <f>I43*Tabla1[[#This Row],[UNIDADES PRODUCIDAS AÑO 1 4]]</f>
        <v>#N/A</v>
      </c>
      <c r="BP57" s="505" t="e">
        <f>VLOOKUP(Tabla1[[#This Row],[CÓDIGO DEL PRODUCTO Y/O SERVICIO ]],Tabla3[],9,0)</f>
        <v>#N/A</v>
      </c>
      <c r="BQ57" s="504" t="e">
        <f>Tabla1[[#This Row],[CANTIDADES A UTILIZAR  AÑO 1 4]]*(1+Tabla1[[#This Row],[CAMBIO PORCENTUAL EN UNIDADES VENDIDAS AÑO 2 4]])</f>
        <v>#N/A</v>
      </c>
      <c r="BR57" s="505" t="e">
        <f>VLOOKUP(Tabla1[[#This Row],[CÓDIGO DEL PRODUCTO Y/O SERVICIO ]],Tabla3[],13,0)</f>
        <v>#N/A</v>
      </c>
      <c r="BS57" s="504" t="e">
        <f>Tabla1[[#This Row],[CANTIDADES A UTILIZAR  AÑO 2 4]]*(1+Tabla1[[#This Row],[CAMBIO PORCENTUAL EN UNIDADES VENDIDAS AÑO 3 4]])</f>
        <v>#N/A</v>
      </c>
      <c r="BT57" s="505" t="e">
        <f>VLOOKUP(Tabla1[[#This Row],[CÓDIGO DEL PRODUCTO Y/O SERVICIO ]],Tabla3[],17,0)</f>
        <v>#N/A</v>
      </c>
      <c r="BU57" s="504" t="e">
        <f>Tabla1[[#This Row],[CANTIDADES A UTILIZAR  AÑO 3 4]]*(1+Tabla1[[#This Row],[CAMBIO PORCENTUAL EN UNIDADES VENDIDAS AÑO 4 4]])</f>
        <v>#N/A</v>
      </c>
      <c r="BV57" s="505" t="e">
        <f>VLOOKUP(Tabla1[[#This Row],[CÓDIGO DEL PRODUCTO Y/O SERVICIO ]],Tabla3[],21,0)</f>
        <v>#N/A</v>
      </c>
      <c r="BW57" s="504" t="e">
        <f>Tabla1[[#This Row],[CANTIDADES A UTILIZAR  AÑO 4 4]]*(1+Tabla1[[#This Row],[CAMBIO PORCENTUAL EN UNIDADES VENDIDAS AÑO 5 4]])</f>
        <v>#N/A</v>
      </c>
      <c r="BX57" s="506" t="e">
        <f>IF(Tabla1[[#This Row],[CANTIDADES A UTILIZAR  AÑO 1 4]]=0,0,Tabla1[[#This Row],[CANTIDADES A UTILIZAR  AÑO 1 4]]*1/Tabla1[[#This Row],[UNIDADES PRODUCIDAS AÑO 1 4]])</f>
        <v>#N/A</v>
      </c>
      <c r="BY57" s="506">
        <f>$D$19*(1+BASES!$E$14)</f>
        <v>0</v>
      </c>
      <c r="BZ57" s="506">
        <f>Tabla1[[#This Row],[COSTO UNITARIO AÑO 2 4]]*(1+BASES!$F$14)</f>
        <v>0</v>
      </c>
      <c r="CA57" s="506">
        <f>Tabla1[[#This Row],[COSTO UNITARIO AÑO 3 4]]*(1+BASES!$G$14)</f>
        <v>0</v>
      </c>
      <c r="CB57" s="506">
        <f>Tabla1[[#This Row],[COSTO UNITARIO AÑO 4 4]]*(1+BASES!$H$14)</f>
        <v>0</v>
      </c>
      <c r="CC57" s="506" t="e">
        <f>Tabla1[[#This Row],[COSTO POR UNIDAD DE PRODUCTO (4) ]]*$D$19*VLOOKUP(Tabla1[[#This Row],[CÓDIGO DEL PRODUCTO Y/O SERVICIO ]],Tabla3[],3,0)</f>
        <v>#N/A</v>
      </c>
      <c r="CD57" s="506" t="e">
        <f>Tabla1[[#This Row],[COSTO POR UNIDAD DE PRODUCTO (4) ]]*Tabla1[[#This Row],[COSTO UNITARIO AÑO 2 4]]*VLOOKUP(Tabla1[[#This Row],[CÓDIGO DEL PRODUCTO Y/O SERVICIO ]],Tabla3[],6,0)</f>
        <v>#N/A</v>
      </c>
      <c r="CE57" s="506" t="e">
        <f>Tabla1[[#This Row],[COSTO POR UNIDAD DE PRODUCTO (4) ]]*Tabla1[[#This Row],[COSTO UNITARIO AÑO 3 4]]*VLOOKUP(Tabla1[[#This Row],[CÓDIGO DEL PRODUCTO Y/O SERVICIO ]],Tabla3[],10,0)</f>
        <v>#N/A</v>
      </c>
      <c r="CF57" s="506" t="e">
        <f>Tabla1[[#This Row],[COSTO POR UNIDAD DE PRODUCTO (4) ]]*Tabla1[[#This Row],[COSTO UNITARIO AÑO 4 4]]*VLOOKUP(Tabla1[[#This Row],[CÓDIGO DEL PRODUCTO Y/O SERVICIO ]],Tabla3[],14,0)</f>
        <v>#N/A</v>
      </c>
      <c r="CG57" s="506" t="e">
        <f>Tabla1[[#This Row],[COSTO POR UNIDAD DE PRODUCTO (4) ]]*Tabla1[[#This Row],[COSTO UNITARIO AÑO 5 4]]*VLOOKUP(Tabla1[[#This Row],[CÓDIGO DEL PRODUCTO Y/O SERVICIO ]],Tabla3[],18,0)</f>
        <v>#N/A</v>
      </c>
      <c r="CH57" s="504" t="e">
        <f>VLOOKUP(Tabla1[[#This Row],[CÓDIGO DEL PRODUCTO Y/O SERVICIO ]],Tabla3[],3,0)</f>
        <v>#N/A</v>
      </c>
      <c r="CI57" s="504" t="e">
        <f>Tabla1[[#This Row],[UNIDADES PRODUCIDAS AÑO 1 5]]*J43</f>
        <v>#N/A</v>
      </c>
      <c r="CJ57" s="505" t="e">
        <f>VLOOKUP(Tabla1[[#This Row],[CÓDIGO DEL PRODUCTO Y/O SERVICIO ]],Tabla3[],9,0)</f>
        <v>#N/A</v>
      </c>
      <c r="CK57" s="504" t="e">
        <f>Tabla1[[#This Row],[CANTIDADES A UTILIZAR  AÑO 1 5]]*(1+Tabla1[[#This Row],[CAMBIO PORCENTUAL EN UNIDADES VENDIDAS AÑO 2 5]])</f>
        <v>#N/A</v>
      </c>
      <c r="CL57" s="505" t="e">
        <f>VLOOKUP(Tabla1[[#This Row],[CÓDIGO DEL PRODUCTO Y/O SERVICIO ]],Tabla3[],13,0)</f>
        <v>#N/A</v>
      </c>
      <c r="CM57" s="504" t="e">
        <f>Tabla1[[#This Row],[CANTIDADES A UTILIZAR  AÑO 2 5]]*(1+Tabla1[[#This Row],[CAMBIO PORCENTUAL EN UNIDADES VENDIDAS AÑO 3 5]])</f>
        <v>#N/A</v>
      </c>
      <c r="CN57" s="505" t="e">
        <f>VLOOKUP(Tabla1[[#This Row],[CÓDIGO DEL PRODUCTO Y/O SERVICIO ]],Tabla3[],17,0)</f>
        <v>#N/A</v>
      </c>
      <c r="CO57" s="504" t="e">
        <f>Tabla1[[#This Row],[CANTIDADES A UTILIZAR  AÑO 3 5]]*(1+Tabla1[[#This Row],[CAMBIO PORCENTUAL EN UNIDADES VENDIDAS AÑO 4 5]])</f>
        <v>#N/A</v>
      </c>
      <c r="CP57" s="505" t="e">
        <f>VLOOKUP(Tabla1[[#This Row],[CÓDIGO DEL PRODUCTO Y/O SERVICIO ]],Tabla3[],21,0)</f>
        <v>#N/A</v>
      </c>
      <c r="CQ57" s="504" t="e">
        <f>Tabla1[[#This Row],[CANTIDADES A UTILIZAR  AÑO 4 5]]*(1+Tabla1[[#This Row],[CAMBIO PORCENTUAL EN UNIDADES VENDIDAS AÑO 5 5]])</f>
        <v>#N/A</v>
      </c>
      <c r="CR57" s="506" t="e">
        <f>IF(Tabla1[[#This Row],[CANTIDADES A UTILIZAR  AÑO 1 5]]=0,0,Tabla1[[#This Row],[CANTIDADES A UTILIZAR  AÑO 1 5]]*1/Tabla1[[#This Row],[UNIDADES PRODUCIDAS AÑO 1 5]])</f>
        <v>#N/A</v>
      </c>
      <c r="CS57" s="506">
        <f>$D$20*(1+BASES!$E$14)</f>
        <v>0</v>
      </c>
      <c r="CT57" s="506">
        <f>Tabla1[[#This Row],[COSTO UNITARIO AÑO 2 5]]*(1+BASES!$F$14)</f>
        <v>0</v>
      </c>
      <c r="CU57" s="506">
        <f>Tabla1[[#This Row],[COSTO UNITARIO AÑO 3 5]]*(1+BASES!$G$14)</f>
        <v>0</v>
      </c>
      <c r="CV57" s="506">
        <f>Tabla1[[#This Row],[COSTO UNITARIO AÑO 4 5]]*(1+BASES!$H$14)</f>
        <v>0</v>
      </c>
      <c r="CW57" s="506" t="e">
        <f>Tabla1[[#This Row],[COSTO POR UNIDAD DE PRODUCTO (5)]]*$D$20*VLOOKUP(Tabla1[[#This Row],[CÓDIGO DEL PRODUCTO Y/O SERVICIO ]],Tabla3[],3,0)</f>
        <v>#N/A</v>
      </c>
      <c r="CX57" s="506" t="e">
        <f>Tabla1[[#This Row],[COSTO POR UNIDAD DE PRODUCTO (5)]]*Tabla1[[#This Row],[COSTO UNITARIO AÑO 2 5]]*VLOOKUP(Tabla1[[#This Row],[CÓDIGO DEL PRODUCTO Y/O SERVICIO ]],Tabla3[],6,0)</f>
        <v>#N/A</v>
      </c>
      <c r="CY57" s="506" t="e">
        <f>Tabla1[[#This Row],[COSTO POR UNIDAD DE PRODUCTO (5)]]*Tabla1[[#This Row],[COSTO UNITARIO AÑO 3 5]]*VLOOKUP(Tabla1[[#This Row],[CÓDIGO DEL PRODUCTO Y/O SERVICIO ]],Tabla3[],10,0)</f>
        <v>#N/A</v>
      </c>
      <c r="CZ57" s="506" t="e">
        <f>Tabla1[[#This Row],[COSTO POR UNIDAD DE PRODUCTO (5)]]*Tabla1[[#This Row],[COSTO UNITARIO AÑO 4 5]]*VLOOKUP(Tabla1[[#This Row],[CÓDIGO DEL PRODUCTO Y/O SERVICIO ]],Tabla3[],14,0)</f>
        <v>#N/A</v>
      </c>
      <c r="DA57" s="506" t="e">
        <f>Tabla1[[#This Row],[COSTO POR UNIDAD DE PRODUCTO (5)]]*Tabla1[[#This Row],[COSTO UNITARIO AÑO 5 5 ]]*VLOOKUP(Tabla1[[#This Row],[CÓDIGO DEL PRODUCTO Y/O SERVICIO ]],Tabla3[],18,0)</f>
        <v>#N/A</v>
      </c>
      <c r="DB57" s="504" t="e">
        <f>VLOOKUP(Tabla1[[#This Row],[CÓDIGO DEL PRODUCTO Y/O SERVICIO ]],Tabla3[],3,0)</f>
        <v>#N/A</v>
      </c>
      <c r="DC57" s="504" t="e">
        <f>Tabla1[[#This Row],[UNIDADES PRODUCIDAS AÑO 1 6]]*K43</f>
        <v>#N/A</v>
      </c>
      <c r="DD57" s="505" t="e">
        <f>VLOOKUP(Tabla1[[#This Row],[CÓDIGO DEL PRODUCTO Y/O SERVICIO ]],Tabla3[],9,0)</f>
        <v>#N/A</v>
      </c>
      <c r="DE57" s="504" t="e">
        <f>Tabla1[[#This Row],[CANTIDADES A UTILIZAR  AÑO 1 6]]*(1+Tabla1[[#This Row],[CAMBIO PORCENTUAL EN UNIDADES VENDIDAS AÑO 2 6]])</f>
        <v>#N/A</v>
      </c>
      <c r="DF57" s="505" t="e">
        <f>VLOOKUP(Tabla1[[#This Row],[CÓDIGO DEL PRODUCTO Y/O SERVICIO ]],Tabla3[],13,0)</f>
        <v>#N/A</v>
      </c>
      <c r="DG57" s="504" t="e">
        <f>Tabla1[[#This Row],[CANTIDADES A UTILIZAR  AÑO 2 6]]*(1+Tabla1[[#This Row],[CAMBIO PORCENTUAL EN UNIDADES VENDIDAS AÑO 3 6]])</f>
        <v>#N/A</v>
      </c>
      <c r="DH57" s="505" t="e">
        <f>VLOOKUP(Tabla1[[#This Row],[CÓDIGO DEL PRODUCTO Y/O SERVICIO ]],Tabla3[],17,0)</f>
        <v>#N/A</v>
      </c>
      <c r="DI57" s="504" t="e">
        <f>Tabla1[[#This Row],[CANTIDADES A UTILIZAR  AÑO 3 6 ]]*(1+Tabla1[[#This Row],[CAMBIO PORCENTUAL EN UNIDADES VENDIDAS AÑO 4 6]])</f>
        <v>#N/A</v>
      </c>
      <c r="DJ57" s="505" t="e">
        <f>VLOOKUP(Tabla1[[#This Row],[CÓDIGO DEL PRODUCTO Y/O SERVICIO ]],Tabla3[],21,0)</f>
        <v>#N/A</v>
      </c>
      <c r="DK57" s="504" t="e">
        <f>Tabla1[[#This Row],[CANTIDADES A UTILIZAR  AÑO 4 6]]*(1+Tabla1[[#This Row],[CAMBIO PORCENTUAL EN UNIDADES VENDIDAS AÑO 5 6]])</f>
        <v>#N/A</v>
      </c>
      <c r="DL57" s="506" t="e">
        <f>IF(Tabla1[[#This Row],[CANTIDADES A UTILIZAR  AÑO 1 6]]=0,0,Tabla1[[#This Row],[CANTIDADES A UTILIZAR  AÑO 1 6]]*1/Tabla1[[#This Row],[UNIDADES PRODUCIDAS AÑO 1 6]])</f>
        <v>#N/A</v>
      </c>
      <c r="DM57" s="506">
        <f>$D$21*(1+BASES!$E$14)</f>
        <v>0</v>
      </c>
      <c r="DN57" s="506">
        <f>Tabla1[[#This Row],[COSTO UNITARIO AÑO 2 6]]*(1+BASES!$F$14)</f>
        <v>0</v>
      </c>
      <c r="DO57" s="506">
        <f>Tabla1[[#This Row],[COSTO UNITARIO AÑO 3 6]]*(1+BASES!$G$14)</f>
        <v>0</v>
      </c>
      <c r="DP57" s="506">
        <f>Tabla1[[#This Row],[COSTO UNITARIO AÑO 4 6 ]]*(1+BASES!$H$14)</f>
        <v>0</v>
      </c>
      <c r="DQ57" s="506" t="e">
        <f>Tabla1[[#This Row],[COSTO POR UNIDAD DE PRODUCTO (6)]]*$D$21*VLOOKUP(Tabla1[[#This Row],[CÓDIGO DEL PRODUCTO Y/O SERVICIO ]],Tabla3[],3,0)</f>
        <v>#N/A</v>
      </c>
      <c r="DR57" s="506" t="e">
        <f>Tabla1[[#This Row],[COSTO POR UNIDAD DE PRODUCTO (6)]]*Tabla1[[#This Row],[COSTO UNITARIO AÑO 2 6]]*VLOOKUP(Tabla1[[#This Row],[CÓDIGO DEL PRODUCTO Y/O SERVICIO ]],Tabla3[],6,0)</f>
        <v>#N/A</v>
      </c>
      <c r="DS57" s="506" t="e">
        <f>Tabla1[[#This Row],[COSTO POR UNIDAD DE PRODUCTO (6)]]*Tabla1[[#This Row],[COSTO UNITARIO AÑO 3 6]]*VLOOKUP(Tabla1[[#This Row],[CÓDIGO DEL PRODUCTO Y/O SERVICIO ]],Tabla3[],10,0)</f>
        <v>#N/A</v>
      </c>
      <c r="DT57" s="506" t="e">
        <f>Tabla1[[#This Row],[COSTO POR UNIDAD DE PRODUCTO (6)]]*Tabla1[[#This Row],[COSTO UNITARIO AÑO 4 6 ]]*VLOOKUP(Tabla1[[#This Row],[CÓDIGO DEL PRODUCTO Y/O SERVICIO ]],Tabla3[],14,0)</f>
        <v>#N/A</v>
      </c>
      <c r="DU57" s="506" t="e">
        <f>Tabla1[[#This Row],[COSTO POR UNIDAD DE PRODUCTO (6)]]*Tabla1[[#This Row],[COSTO UNITARIO AÑO 5 6]]*VLOOKUP(Tabla1[[#This Row],[CÓDIGO DEL PRODUCTO Y/O SERVICIO ]],Tabla3[],18,0)</f>
        <v>#N/A</v>
      </c>
      <c r="DV57" s="504" t="e">
        <f>VLOOKUP(Tabla1[[#This Row],[CÓDIGO DEL PRODUCTO Y/O SERVICIO ]],Tabla3[],3,0)</f>
        <v>#N/A</v>
      </c>
      <c r="DW57" s="504" t="e">
        <f>Tabla1[[#This Row],[UNIDADES PRODUCIDAS AÑO 1 7]]*L43</f>
        <v>#N/A</v>
      </c>
      <c r="DX57" s="505" t="e">
        <f>VLOOKUP(Tabla1[[#This Row],[CÓDIGO DEL PRODUCTO Y/O SERVICIO ]],Tabla3[],9,0)</f>
        <v>#N/A</v>
      </c>
      <c r="DY57" s="504" t="e">
        <f>Tabla1[[#This Row],[CANTIDADES A UTILIZAR  AÑO 1 7]]*(1+Tabla1[[#This Row],[CAMBIO PORCENTUAL EN UNIDADES VENDIDAS AÑO 2 7]])</f>
        <v>#N/A</v>
      </c>
      <c r="DZ57" s="505" t="e">
        <f>VLOOKUP(Tabla1[[#This Row],[CÓDIGO DEL PRODUCTO Y/O SERVICIO ]],Tabla3[],13,0)</f>
        <v>#N/A</v>
      </c>
      <c r="EA57" s="504" t="e">
        <f>Tabla1[[#This Row],[CANTIDADES A UTILIZAR  AÑO 2 7]]*(1+Tabla1[[#This Row],[CAMBIO PORCENTUAL EN UNIDADES VENDIDAS AÑO 3 7]])</f>
        <v>#N/A</v>
      </c>
      <c r="EB57" s="505" t="e">
        <f>VLOOKUP(Tabla1[[#This Row],[CÓDIGO DEL PRODUCTO Y/O SERVICIO ]],Tabla3[],17,0)</f>
        <v>#N/A</v>
      </c>
      <c r="EC57" s="504" t="e">
        <f>Tabla1[[#This Row],[CANTIDADES A UTILIZAR  AÑO 3 7 ]]*(1+Tabla1[[#This Row],[CAMBIO PORCENTUAL EN UNIDADES VENDIDAS AÑO 4 7]])</f>
        <v>#N/A</v>
      </c>
      <c r="ED57" s="505" t="e">
        <f>VLOOKUP(Tabla1[[#This Row],[CÓDIGO DEL PRODUCTO Y/O SERVICIO ]],Tabla3[],21,0)</f>
        <v>#N/A</v>
      </c>
      <c r="EE57" s="504" t="e">
        <f>Tabla1[[#This Row],[CANTIDADES A UTILIZAR  AÑO 4 7]]*(1+Tabla1[[#This Row],[CAMBIO PORCENTUAL EN UNIDADES VENDIDAS AÑO 5 7]])</f>
        <v>#N/A</v>
      </c>
      <c r="EF57" s="506" t="e">
        <f>IF(Tabla1[[#This Row],[CANTIDADES A UTILIZAR  AÑO 1 7]]=0,0,Tabla1[[#This Row],[CANTIDADES A UTILIZAR  AÑO 1 7]]*1/Tabla1[[#This Row],[UNIDADES PRODUCIDAS AÑO 1 7]])</f>
        <v>#N/A</v>
      </c>
      <c r="EG57" s="506">
        <f>$D$22*(1+BASES!$E$14)</f>
        <v>0</v>
      </c>
      <c r="EH57" s="506">
        <f>Tabla1[[#This Row],[COSTO UNITARIO AÑO 2 7]]*(1+BASES!$F$14)</f>
        <v>0</v>
      </c>
      <c r="EI57" s="506">
        <f>Tabla1[[#This Row],[COSTO UNITARIO AÑO 3 7]]*(1+BASES!$G$14)</f>
        <v>0</v>
      </c>
      <c r="EJ57" s="506">
        <f>Tabla1[[#This Row],[COSTO UNITARIO AÑO 4 7]]*(1+BASES!$H$14)</f>
        <v>0</v>
      </c>
      <c r="EK57" s="506" t="e">
        <f>Tabla1[[#This Row],[COSTO POR UNIDAD DE PRODUCTO (7)]]*$D$22*VLOOKUP(Tabla1[[#This Row],[CÓDIGO DEL PRODUCTO Y/O SERVICIO ]],Tabla3[],3,0)</f>
        <v>#N/A</v>
      </c>
      <c r="EL57" s="506" t="e">
        <f>Tabla1[[#This Row],[COSTO POR UNIDAD DE PRODUCTO (7)]]*Tabla1[[#This Row],[COSTO UNITARIO AÑO 2 7]]*VLOOKUP(Tabla1[[#This Row],[CÓDIGO DEL PRODUCTO Y/O SERVICIO ]],Tabla3[],6,0)</f>
        <v>#N/A</v>
      </c>
      <c r="EM57" s="506" t="e">
        <f>Tabla1[[#This Row],[COSTO POR UNIDAD DE PRODUCTO (7)]]*Tabla1[[#This Row],[COSTO UNITARIO AÑO 3 7]]*VLOOKUP(Tabla1[[#This Row],[CÓDIGO DEL PRODUCTO Y/O SERVICIO ]],Tabla3[],10,0)</f>
        <v>#N/A</v>
      </c>
      <c r="EN57" s="506" t="e">
        <f>Tabla1[[#This Row],[COSTO POR UNIDAD DE PRODUCTO (7)]]*Tabla1[[#This Row],[COSTO UNITARIO AÑO 4 7]]*VLOOKUP(Tabla1[[#This Row],[CÓDIGO DEL PRODUCTO Y/O SERVICIO ]],Tabla3[],14,0)</f>
        <v>#N/A</v>
      </c>
      <c r="EO57" s="506" t="e">
        <f>Tabla1[[#This Row],[COSTO POR UNIDAD DE PRODUCTO (7)]]*Tabla1[[#This Row],[COSTO UNITARIO AÑO 5 7]]*VLOOKUP(Tabla1[[#This Row],[CÓDIGO DEL PRODUCTO Y/O SERVICIO ]],Tabla3[],18,0)</f>
        <v>#N/A</v>
      </c>
      <c r="EP57" s="504" t="e">
        <f>VLOOKUP(Tabla1[[#This Row],[CÓDIGO DEL PRODUCTO Y/O SERVICIO ]],Tabla3[],3,0)</f>
        <v>#N/A</v>
      </c>
      <c r="EQ57" s="504" t="e">
        <f>Tabla1[[#This Row],[UNIDADES PRODUCIDAS AÑO 1 8]]*M43</f>
        <v>#N/A</v>
      </c>
      <c r="ER57" s="505" t="e">
        <f>VLOOKUP(Tabla1[[#This Row],[CÓDIGO DEL PRODUCTO Y/O SERVICIO ]],Tabla3[],9,0)</f>
        <v>#N/A</v>
      </c>
      <c r="ES57" s="504" t="e">
        <f>Tabla1[[#This Row],[CANTIDADES A UTILIZAR  AÑO 1 8]]*(1+Tabla1[[#This Row],[CAMBIO PORCENTUAL EN UNIDADES VENDIDAS AÑO 2 8]])</f>
        <v>#N/A</v>
      </c>
      <c r="ET57" s="505" t="e">
        <f>VLOOKUP(Tabla1[[#This Row],[CÓDIGO DEL PRODUCTO Y/O SERVICIO ]],Tabla3[],13,0)</f>
        <v>#N/A</v>
      </c>
      <c r="EU57" s="504" t="e">
        <f>Tabla1[[#This Row],[CANTIDADES A UTILIZAR  AÑO 2 8]]*(1+Tabla1[[#This Row],[CAMBIO PORCENTUAL EN UNIDADES VENDIDAS AÑO 3 8]])</f>
        <v>#N/A</v>
      </c>
      <c r="EV57" s="505" t="e">
        <f>VLOOKUP(Tabla1[[#This Row],[CÓDIGO DEL PRODUCTO Y/O SERVICIO ]],Tabla3[],17,0)</f>
        <v>#N/A</v>
      </c>
      <c r="EW57" s="504" t="e">
        <f>Tabla1[[#This Row],[CANTIDADES A UTILIZAR  AÑO 3 8]]*(1+Tabla1[[#This Row],[CAMBIO PORCENTUAL EN UNIDADES VENDIDAS AÑO 4 8]])</f>
        <v>#N/A</v>
      </c>
      <c r="EX57" s="505" t="e">
        <f>VLOOKUP(Tabla1[[#This Row],[CÓDIGO DEL PRODUCTO Y/O SERVICIO ]],Tabla3[],21,0)</f>
        <v>#N/A</v>
      </c>
      <c r="EY57" s="504" t="e">
        <f>Tabla1[[#This Row],[CANTIDADES A UTILIZAR  AÑO 4 8]]*(1+Tabla1[[#This Row],[CAMBIO PORCENTUAL EN UNIDADES VENDIDAS AÑO 5 8]])</f>
        <v>#N/A</v>
      </c>
      <c r="EZ57" s="506" t="e">
        <f>IF(Tabla1[[#This Row],[CANTIDADES A UTILIZAR  AÑO 1 8]]=0,0,Tabla1[[#This Row],[CANTIDADES A UTILIZAR  AÑO 1 8]]*1/Tabla1[[#This Row],[UNIDADES PRODUCIDAS AÑO 1 8]])</f>
        <v>#N/A</v>
      </c>
      <c r="FA57" s="506">
        <f>$D$23*(1+BASES!$E$14)</f>
        <v>0</v>
      </c>
      <c r="FB57" s="506">
        <f>Tabla1[[#This Row],[COSTO UNITARIO AÑO 2 8]]*(1+BASES!$F$14)</f>
        <v>0</v>
      </c>
      <c r="FC57" s="506">
        <f>Tabla1[[#This Row],[COSTO UNITARIO AÑO 3 8]]*(1+BASES!$G$14)</f>
        <v>0</v>
      </c>
      <c r="FD57" s="506">
        <f>Tabla1[[#This Row],[COSTO UNITARIO AÑO 4 8]]*(1+BASES!$H$14)</f>
        <v>0</v>
      </c>
      <c r="FE57" s="506" t="e">
        <f>Tabla1[[#This Row],[COSTO POR UNIDAD DE PRODUCTO (8)]]*$D$23*VLOOKUP(Tabla1[[#This Row],[CÓDIGO DEL PRODUCTO Y/O SERVICIO ]],Tabla3[],3,0)</f>
        <v>#N/A</v>
      </c>
      <c r="FF57" s="506" t="e">
        <f>Tabla1[[#This Row],[COSTO POR UNIDAD DE PRODUCTO (8)]]*Tabla1[[#This Row],[COSTO UNITARIO AÑO 2 8]]*VLOOKUP(Tabla1[[#This Row],[CÓDIGO DEL PRODUCTO Y/O SERVICIO ]],Tabla3[],6,0)</f>
        <v>#N/A</v>
      </c>
      <c r="FG57" s="506" t="e">
        <f>Tabla1[[#This Row],[COSTO POR UNIDAD DE PRODUCTO (8)]]*Tabla1[[#This Row],[COSTO UNITARIO AÑO 3 8]]*VLOOKUP(Tabla1[[#This Row],[CÓDIGO DEL PRODUCTO Y/O SERVICIO ]],Tabla3[],10,0)</f>
        <v>#N/A</v>
      </c>
      <c r="FH57" s="506" t="e">
        <f>Tabla1[[#This Row],[COSTO POR UNIDAD DE PRODUCTO (8)]]*Tabla1[[#This Row],[COSTO UNITARIO AÑO 4 8]]*VLOOKUP(Tabla1[[#This Row],[CÓDIGO DEL PRODUCTO Y/O SERVICIO ]],Tabla3[],14,0)</f>
        <v>#N/A</v>
      </c>
      <c r="FI57" s="506" t="e">
        <f>Tabla1[[#This Row],[COSTO POR UNIDAD DE PRODUCTO (8)]]*Tabla1[[#This Row],[COSTO UNITARIO AÑO 5 8]]*VLOOKUP(Tabla1[[#This Row],[CÓDIGO DEL PRODUCTO Y/O SERVICIO ]],Tabla3[],18,0)</f>
        <v>#N/A</v>
      </c>
      <c r="FJ57" s="508" t="e">
        <f>VLOOKUP(Tabla1[[#This Row],[CÓDIGO DEL PRODUCTO Y/O SERVICIO ]],Tabla3[],3,0)</f>
        <v>#N/A</v>
      </c>
      <c r="FK57" s="508" t="e">
        <f>Tabla1[[#This Row],[UNIDADES PRODUCIDAS AÑO 1 9 ]]*N43</f>
        <v>#N/A</v>
      </c>
      <c r="FL57" s="509" t="e">
        <f>VLOOKUP(Tabla1[[#This Row],[CÓDIGO DEL PRODUCTO Y/O SERVICIO ]],Tabla3[],9,0)</f>
        <v>#N/A</v>
      </c>
      <c r="FM57" s="508" t="e">
        <f>Tabla1[[#This Row],[CANTIDADES A UTILIZAR  AÑO 1 9]]*(1+Tabla1[[#This Row],[CAMBIO PORCENTUAL EN UNIDADES VENDIDAS AÑO 2 9]])</f>
        <v>#N/A</v>
      </c>
      <c r="FN57" s="509" t="e">
        <f>VLOOKUP(Tabla1[[#This Row],[CÓDIGO DEL PRODUCTO Y/O SERVICIO ]],Tabla3[],13,0)</f>
        <v>#N/A</v>
      </c>
      <c r="FO57" s="508" t="e">
        <f>Tabla1[[#This Row],[CANTIDADES A UTILIZAR  AÑO 2 9]]*(1+Tabla1[[#This Row],[CAMBIO PORCENTUAL EN UNIDADES VENDIDAS AÑO 3 9]])</f>
        <v>#N/A</v>
      </c>
      <c r="FP57" s="509" t="e">
        <f>VLOOKUP(Tabla1[[#This Row],[CÓDIGO DEL PRODUCTO Y/O SERVICIO ]],Tabla3[],17,0)</f>
        <v>#N/A</v>
      </c>
      <c r="FQ57" s="508" t="e">
        <f>Tabla1[[#This Row],[CANTIDADES A UTILIZAR  AÑO 3 9]]*(1+Tabla1[[#This Row],[CAMBIO PORCENTUAL EN UNIDADES VENDIDAS AÑO 4 9 ]])</f>
        <v>#N/A</v>
      </c>
      <c r="FR57" s="509" t="e">
        <f>VLOOKUP(Tabla1[[#This Row],[CÓDIGO DEL PRODUCTO Y/O SERVICIO ]],Tabla3[],21,0)</f>
        <v>#N/A</v>
      </c>
      <c r="FS57" s="508" t="e">
        <f>Tabla1[[#This Row],[CANTIDADES A UTILIZAR  AÑO 4  9]]*(1+Tabla1[[#This Row],[CAMBIO PORCENTUAL EN UNIDADES VENDIDAS AÑO 5 9]])</f>
        <v>#N/A</v>
      </c>
      <c r="FT57" s="510" t="e">
        <f>IF(Tabla1[[#This Row],[CANTIDADES A UTILIZAR  AÑO 1 9]]=0,0,Tabla1[[#This Row],[CANTIDADES A UTILIZAR  AÑO 1 9]]*1/Tabla1[[#This Row],[UNIDADES PRODUCIDAS AÑO 1 9 ]])</f>
        <v>#N/A</v>
      </c>
      <c r="FU57" s="510">
        <f>$D$24*(1+BASES!$E$14)</f>
        <v>0</v>
      </c>
      <c r="FV57" s="510">
        <f>Tabla1[[#This Row],[COSTO UNITARIO AÑO 2 9]]*(1+BASES!$F$14)</f>
        <v>0</v>
      </c>
      <c r="FW57" s="510">
        <f>Tabla1[[#This Row],[COSTO UNITARIO AÑO 3 9]]*(1+BASES!$G$14)</f>
        <v>0</v>
      </c>
      <c r="FX57" s="510">
        <f>Tabla1[[#This Row],[COSTO UNITARIO AÑO 4 9]]*(1+BASES!$H$14)</f>
        <v>0</v>
      </c>
      <c r="FY57" s="510" t="e">
        <f>Tabla1[[#This Row],[COSTO POR UNIDAD DE PRODUCTO (9)]]*$D$24*VLOOKUP(Tabla1[[#This Row],[CÓDIGO DEL PRODUCTO Y/O SERVICIO ]],Tabla3[],3,0)</f>
        <v>#N/A</v>
      </c>
      <c r="FZ57" s="510" t="e">
        <f>Tabla1[[#This Row],[COSTO POR UNIDAD DE PRODUCTO (9)]]*Tabla1[[#This Row],[COSTO UNITARIO AÑO 2 9]]*VLOOKUP(Tabla1[[#This Row],[CÓDIGO DEL PRODUCTO Y/O SERVICIO ]],Tabla3[],6,0)</f>
        <v>#N/A</v>
      </c>
      <c r="GA57" s="510" t="e">
        <f>Tabla1[[#This Row],[COSTO POR UNIDAD DE PRODUCTO (9)]]*Tabla1[[#This Row],[COSTO UNITARIO AÑO 3 9]]*VLOOKUP(Tabla1[[#This Row],[CÓDIGO DEL PRODUCTO Y/O SERVICIO ]],Tabla3[],10,0)</f>
        <v>#N/A</v>
      </c>
      <c r="GB57" s="510" t="e">
        <f>Tabla1[[#This Row],[COSTO POR UNIDAD DE PRODUCTO (9)]]*Tabla1[[#This Row],[COSTO UNITARIO AÑO 4 9]]*VLOOKUP(Tabla1[[#This Row],[CÓDIGO DEL PRODUCTO Y/O SERVICIO ]],Tabla3[],14,0)</f>
        <v>#N/A</v>
      </c>
      <c r="GC57" s="510" t="e">
        <f>Tabla1[[#This Row],[COSTO POR UNIDAD DE PRODUCTO (9)]]*Tabla1[[#This Row],[COSTO UNITARIO AÑO 5 9]]*VLOOKUP(Tabla1[[#This Row],[CÓDIGO DEL PRODUCTO Y/O SERVICIO ]],Tabla3[],18,0)</f>
        <v>#N/A</v>
      </c>
      <c r="GD57" s="508" t="e">
        <f>VLOOKUP(Tabla1[[#This Row],[CÓDIGO DEL PRODUCTO Y/O SERVICIO ]],Tabla3[],3,0)</f>
        <v>#N/A</v>
      </c>
      <c r="GE57" s="508" t="e">
        <f>Tabla1[[#This Row],[UNIDADES PRODUCIDAS AÑO 1 10]]*O43</f>
        <v>#N/A</v>
      </c>
      <c r="GF57" s="509" t="e">
        <f>VLOOKUP(Tabla1[[#This Row],[CÓDIGO DEL PRODUCTO Y/O SERVICIO ]],Tabla3[],9,0)</f>
        <v>#N/A</v>
      </c>
      <c r="GG57" s="508" t="e">
        <f>Tabla1[[#This Row],[CANTIDADES A UTILIZAR  AÑO 1 10]]*(1+Tabla1[[#This Row],[CAMBIO PORCENTUAL EN UNIDADES VENDIDAS AÑO 2 10 ]])</f>
        <v>#N/A</v>
      </c>
      <c r="GH57" s="509" t="e">
        <f>VLOOKUP(Tabla1[[#This Row],[CÓDIGO DEL PRODUCTO Y/O SERVICIO ]],Tabla3[],13,0)</f>
        <v>#N/A</v>
      </c>
      <c r="GI57" s="508" t="e">
        <f>Tabla1[[#This Row],[CANTIDADES A UTILIZAR  AÑO 2 10]]*(1+Tabla1[[#This Row],[CAMBIO PORCENTUAL EN UNIDADES VENDIDAS AÑO 3 10]])</f>
        <v>#N/A</v>
      </c>
      <c r="GJ57" s="509" t="e">
        <f>VLOOKUP(Tabla1[[#This Row],[CÓDIGO DEL PRODUCTO Y/O SERVICIO ]],Tabla3[],17,0)</f>
        <v>#N/A</v>
      </c>
      <c r="GK57" s="508" t="e">
        <f>Tabla1[[#This Row],[CANTIDADES A UTILIZAR AÑO 3 10 ]]*(1+Tabla1[[#This Row],[CAMBIO PORCENTUAL EN UNIDADES VENDIDAS AÑO 4 10]])</f>
        <v>#N/A</v>
      </c>
      <c r="GL57" s="509" t="e">
        <f>VLOOKUP(Tabla1[[#This Row],[CÓDIGO DEL PRODUCTO Y/O SERVICIO ]],Tabla3[],21,0)</f>
        <v>#N/A</v>
      </c>
      <c r="GM57" s="508" t="e">
        <f>Tabla1[[#This Row],[CANTIDADES A UTILIZAR  AÑO 4 10 ]]*(1+Tabla1[[#This Row],[CAMBIO PORCENTUAL EN UNIDADES VENDIDAS AÑO 5 10]])</f>
        <v>#N/A</v>
      </c>
      <c r="GN57" s="510" t="e">
        <f>IF(Tabla1[[#This Row],[CANTIDADES A UTILIZAR  AÑO 1 10]]=0,0,Tabla1[[#This Row],[CANTIDADES A UTILIZAR  AÑO 1 10]]*1/Tabla1[[#This Row],[UNIDADES PRODUCIDAS AÑO 1 10]])</f>
        <v>#N/A</v>
      </c>
      <c r="GO57" s="510">
        <f>$D$25*(1+BASES!$E$14)</f>
        <v>0</v>
      </c>
      <c r="GP57" s="510">
        <f>Tabla1[[#This Row],[COSTO UNITARIO AÑO 2 10 ]]*(1+BASES!$F$14)</f>
        <v>0</v>
      </c>
      <c r="GQ57" s="510">
        <f>Tabla1[[#This Row],[COSTO UNITARIO AÑO 3 10]]*(1+BASES!$G$14)</f>
        <v>0</v>
      </c>
      <c r="GR57" s="510">
        <f>Tabla1[[#This Row],[COSTO UNITARIO AÑO 4 10]]*(1+BASES!$H$14)</f>
        <v>0</v>
      </c>
      <c r="GS57" s="510" t="e">
        <f>Tabla1[[#This Row],[COSTO POR UNIDAD DE PRODUCTO (10)]]*$D$25*VLOOKUP(Tabla1[[#This Row],[CÓDIGO DEL PRODUCTO Y/O SERVICIO ]],Tabla3[],3,0)</f>
        <v>#N/A</v>
      </c>
      <c r="GT57" s="510" t="e">
        <f>Tabla1[[#This Row],[COSTO POR UNIDAD DE PRODUCTO (10)]]*Tabla1[[#This Row],[COSTO UNITARIO AÑO 2 10 ]]*VLOOKUP(Tabla1[[#This Row],[CÓDIGO DEL PRODUCTO Y/O SERVICIO ]],Tabla3[],6,0)</f>
        <v>#N/A</v>
      </c>
      <c r="GU57" s="510" t="e">
        <f>Tabla1[[#This Row],[COSTO POR UNIDAD DE PRODUCTO (10)]]*Tabla1[[#This Row],[COSTO UNITARIO AÑO 3 10]]*VLOOKUP(Tabla1[[#This Row],[CÓDIGO DEL PRODUCTO Y/O SERVICIO ]],Tabla3[],10,0)</f>
        <v>#N/A</v>
      </c>
      <c r="GV57" s="510" t="e">
        <f>Tabla1[[#This Row],[COSTO POR UNIDAD DE PRODUCTO (10)]]*Tabla1[[#This Row],[COSTO UNITARIO AÑO 4 10]]*VLOOKUP(Tabla1[[#This Row],[CÓDIGO DEL PRODUCTO Y/O SERVICIO ]],Tabla3[],14,0)</f>
        <v>#N/A</v>
      </c>
      <c r="GW57" s="510" t="e">
        <f>Tabla1[[#This Row],[COSTO POR UNIDAD DE PRODUCTO (10)]]*Tabla1[[#This Row],[COSTO UNITARIO AÑO 5 10 ]]*VLOOKUP(Tabla1[[#This Row],[CÓDIGO DEL PRODUCTO Y/O SERVICIO ]],Tabla3[],18,0)</f>
        <v>#N/A</v>
      </c>
      <c r="GX57" s="508" t="e">
        <f>VLOOKUP(Tabla1[[#This Row],[CÓDIGO DEL PRODUCTO Y/O SERVICIO ]],Tabla3[],3,0)</f>
        <v>#N/A</v>
      </c>
      <c r="GY57" s="508" t="e">
        <f>Tabla1[[#This Row],[UNIDADES PRODUCIDAS AÑO 1 11]]*P43</f>
        <v>#N/A</v>
      </c>
      <c r="GZ57" s="509" t="e">
        <f>VLOOKUP(Tabla1[[#This Row],[CÓDIGO DEL PRODUCTO Y/O SERVICIO ]],Tabla3[],9,0)</f>
        <v>#N/A</v>
      </c>
      <c r="HA57" s="508" t="e">
        <f>Tabla1[[#This Row],[CANTIDADES A UTILIZAR  AÑO 1 11 ]]*(1+Tabla1[[#This Row],[CAMBIO PORCENTUAL EN UNIDADES VENDIDAS AÑO 2 11 ]])</f>
        <v>#N/A</v>
      </c>
      <c r="HB57" s="509" t="e">
        <f>VLOOKUP(Tabla1[[#This Row],[CÓDIGO DEL PRODUCTO Y/O SERVICIO ]],Tabla3[],13,0)</f>
        <v>#N/A</v>
      </c>
      <c r="HC57" s="508" t="e">
        <f>Tabla1[[#This Row],[CANTIDADES A UTILIZAR  AÑO 2 11 ]]*(1+Tabla1[[#This Row],[CAMBIO PORCENTUAL EN UNIDADES VENDIDAS AÑO 3 11]])</f>
        <v>#N/A</v>
      </c>
      <c r="HD57" s="509" t="e">
        <f>VLOOKUP(Tabla1[[#This Row],[CÓDIGO DEL PRODUCTO Y/O SERVICIO ]],Tabla3[],17,0)</f>
        <v>#N/A</v>
      </c>
      <c r="HE57" s="508" t="e">
        <f>Tabla1[[#This Row],[CANTIDADES A UTILIZAR  AÑO 3 11]]*(1+Tabla1[[#This Row],[CAMBIO PORCENTUAL EN UNIDADES VENDIDAS AÑO 4 11]])</f>
        <v>#N/A</v>
      </c>
      <c r="HF57" s="509" t="e">
        <f>VLOOKUP(Tabla1[[#This Row],[CÓDIGO DEL PRODUCTO Y/O SERVICIO ]],Tabla3[],21,0)</f>
        <v>#N/A</v>
      </c>
      <c r="HG57" s="508" t="e">
        <f>Tabla1[[#This Row],[CANTIDADES A UTILIZAR  AÑO 4 11]]*(1+Tabla1[[#This Row],[CAMBIO PORCENTUAL EN UNIDADES VENDIDAS AÑO 5 11 ]])</f>
        <v>#N/A</v>
      </c>
      <c r="HH57" s="510" t="e">
        <f>IF(Tabla1[[#This Row],[CANTIDADES A UTILIZAR  AÑO 1 11 ]]=0,0,Tabla1[[#This Row],[CANTIDADES A UTILIZAR  AÑO 1 11 ]]*1/Tabla1[[#This Row],[UNIDADES PRODUCIDAS AÑO 1 11]])</f>
        <v>#N/A</v>
      </c>
      <c r="HI57" s="510">
        <f>$D$26*(1+BASES!$E$14)</f>
        <v>0</v>
      </c>
      <c r="HJ57" s="510">
        <f>Tabla1[[#This Row],[COSTO UNITARIO AÑO 2 11]]*(1+BASES!$F$14)</f>
        <v>0</v>
      </c>
      <c r="HK57" s="510">
        <f>Tabla1[[#This Row],[COSTO UNITARIO AÑO 3 11 ]]*(1+BASES!$G$14)</f>
        <v>0</v>
      </c>
      <c r="HL57" s="510">
        <f>Tabla1[[#This Row],[COSTO UNITARIO AÑO 4 11 ]]*(1+BASES!$H$14)</f>
        <v>0</v>
      </c>
      <c r="HM57" s="510" t="e">
        <f>Tabla1[[#This Row],[COSTO POR UNIDAD DE PRODUCTO (11)]]*$D$26*VLOOKUP(Tabla1[[#This Row],[CÓDIGO DEL PRODUCTO Y/O SERVICIO ]],Tabla3[],3,0)</f>
        <v>#N/A</v>
      </c>
      <c r="HN57" s="510" t="e">
        <f>Tabla1[[#This Row],[COSTO POR UNIDAD DE PRODUCTO (11)]]*Tabla1[[#This Row],[COSTO UNITARIO AÑO 2 11]]*VLOOKUP(Tabla1[[#This Row],[CÓDIGO DEL PRODUCTO Y/O SERVICIO ]],Tabla3[],6,0)</f>
        <v>#N/A</v>
      </c>
      <c r="HO57" s="510" t="e">
        <f>Tabla1[[#This Row],[COSTO POR UNIDAD DE PRODUCTO (11)]]*Tabla1[[#This Row],[COSTO UNITARIO AÑO 3 11 ]]*VLOOKUP(Tabla1[[#This Row],[CÓDIGO DEL PRODUCTO Y/O SERVICIO ]],Tabla3[],10,0)</f>
        <v>#N/A</v>
      </c>
      <c r="HP57" s="510" t="e">
        <f>Tabla1[[#This Row],[COSTO POR UNIDAD DE PRODUCTO (11)]]*Tabla1[[#This Row],[COSTO UNITARIO AÑO 4 11 ]]*VLOOKUP(Tabla1[[#This Row],[CÓDIGO DEL PRODUCTO Y/O SERVICIO ]],Tabla3[],14,0)</f>
        <v>#N/A</v>
      </c>
      <c r="HQ57" s="510" t="e">
        <f>Tabla1[[#This Row],[COSTO POR UNIDAD DE PRODUCTO (11)]]*Tabla1[[#This Row],[COSTO UNITARIO AÑO 5 11 ]]*VLOOKUP(Tabla1[[#This Row],[CÓDIGO DEL PRODUCTO Y/O SERVICIO ]],Tabla3[],18,0)</f>
        <v>#N/A</v>
      </c>
      <c r="HR57" s="508" t="e">
        <f>VLOOKUP(Tabla1[[#This Row],[CÓDIGO DEL PRODUCTO Y/O SERVICIO ]],Tabla3[],3,0)</f>
        <v>#N/A</v>
      </c>
      <c r="HS57" s="508" t="e">
        <f>Tabla1[[#This Row],[UNIDADES PRODUCIDAS AÑO 1 12]]*Q43</f>
        <v>#N/A</v>
      </c>
      <c r="HT57" s="509" t="e">
        <f>VLOOKUP(Tabla1[[#This Row],[CÓDIGO DEL PRODUCTO Y/O SERVICIO ]],Tabla3[],9,0)</f>
        <v>#N/A</v>
      </c>
      <c r="HU57" s="508" t="e">
        <f>Tabla1[[#This Row],[CANTIDADES A UTILIZAR  AÑO 1 12]]*(1+Tabla1[[#This Row],[CAMBIO PORCENTUAL EN UNIDADES VENDIDAS AÑO 2 12]])</f>
        <v>#N/A</v>
      </c>
      <c r="HV57" s="509" t="e">
        <f>VLOOKUP(Tabla1[[#This Row],[CÓDIGO DEL PRODUCTO Y/O SERVICIO ]],Tabla3[],13,0)</f>
        <v>#N/A</v>
      </c>
      <c r="HW57" s="508" t="e">
        <f>Tabla1[[#This Row],[CANTIDADES A UTILIZAR  AÑO 2 12]]*(1+Tabla1[[#This Row],[CAMBIO PORCENTUAL EN UNIDADES VENDIDAS AÑO 3 12]])</f>
        <v>#N/A</v>
      </c>
      <c r="HX57" s="509" t="e">
        <f>VLOOKUP(Tabla1[[#This Row],[CÓDIGO DEL PRODUCTO Y/O SERVICIO ]],Tabla3[],17,0)</f>
        <v>#N/A</v>
      </c>
      <c r="HY57" s="508" t="e">
        <f>Tabla1[[#This Row],[CANTIDADES A UTILIZAR  AÑO 3 12]]*(1+Tabla1[[#This Row],[CAMBIO PORCENTUAL EN UNIDADES VENDIDAS AÑO 4 12]])</f>
        <v>#N/A</v>
      </c>
      <c r="HZ57" s="509" t="e">
        <f>VLOOKUP(Tabla1[[#This Row],[CÓDIGO DEL PRODUCTO Y/O SERVICIO ]],Tabla3[],21,0)</f>
        <v>#N/A</v>
      </c>
      <c r="IA57" s="508" t="e">
        <f>Tabla1[[#This Row],[CANTIDADES A UTILIZAR  AÑO 4 12]]*(1+Tabla1[[#This Row],[CAMBIO PORCENTUAL EN UNIDADES VENDIDAS AÑO 5 12]])</f>
        <v>#N/A</v>
      </c>
      <c r="IB57" s="510" t="e">
        <f>IF(Tabla1[[#This Row],[CANTIDADES A UTILIZAR  AÑO 1 12]]=0,0,Tabla1[[#This Row],[CANTIDADES A UTILIZAR  AÑO 1 12]]*1/Tabla1[[#This Row],[UNIDADES PRODUCIDAS AÑO 1 12]])</f>
        <v>#N/A</v>
      </c>
      <c r="IC57" s="510">
        <f>$D$27*(1+BASES!$E$14)</f>
        <v>0</v>
      </c>
      <c r="ID57" s="510">
        <f>Tabla1[[#This Row],[COSTO UNITARIO AÑO 2 12]]*(1+BASES!$F$14)</f>
        <v>0</v>
      </c>
      <c r="IE57" s="510">
        <f>Tabla1[[#This Row],[COSTO UNITARIO AÑO 3 12]]*(1+BASES!$G$14)</f>
        <v>0</v>
      </c>
      <c r="IF57" s="510">
        <f>Tabla1[[#This Row],[COSTO UNITARIO AÑO 4 12]]*(1+BASES!$H$14)</f>
        <v>0</v>
      </c>
      <c r="IG57" s="510" t="e">
        <f>Tabla1[[#This Row],[COSTO POR UNIDAD DE PRODUCTO (12)]]*$D$27*VLOOKUP(Tabla1[[#This Row],[CÓDIGO DEL PRODUCTO Y/O SERVICIO ]],Tabla3[],3,0)</f>
        <v>#N/A</v>
      </c>
      <c r="IH57" s="510" t="e">
        <f>Tabla1[[#This Row],[COSTO POR UNIDAD DE PRODUCTO (12)]]*Tabla1[[#This Row],[COSTO UNITARIO AÑO 2 12]]*VLOOKUP(Tabla1[[#This Row],[CÓDIGO DEL PRODUCTO Y/O SERVICIO ]],Tabla3[],6,0)</f>
        <v>#N/A</v>
      </c>
      <c r="II57" s="510" t="e">
        <f>Tabla1[[#This Row],[COSTO POR UNIDAD DE PRODUCTO (12)]]*Tabla1[[#This Row],[COSTO UNITARIO AÑO 3 12]]*VLOOKUP(Tabla1[[#This Row],[CÓDIGO DEL PRODUCTO Y/O SERVICIO ]],Tabla3[],10,0)</f>
        <v>#N/A</v>
      </c>
      <c r="IJ57" s="510" t="e">
        <f>Tabla1[[#This Row],[COSTO POR UNIDAD DE PRODUCTO (12)]]*Tabla1[[#This Row],[COSTO UNITARIO AÑO 4 12]]*VLOOKUP(Tabla1[[#This Row],[CÓDIGO DEL PRODUCTO Y/O SERVICIO ]],Tabla3[],14,0)</f>
        <v>#N/A</v>
      </c>
      <c r="IK57" s="510" t="e">
        <f>Tabla1[[#This Row],[COSTO POR UNIDAD DE PRODUCTO (12)]]*Tabla1[[#This Row],[COSTO UNITARIO AÑO 5 12]]*VLOOKUP(Tabla1[[#This Row],[CÓDIGO DEL PRODUCTO Y/O SERVICIO ]],Tabla3[],18,0)</f>
        <v>#N/A</v>
      </c>
      <c r="IL57" s="508" t="e">
        <f>VLOOKUP(Tabla1[[#This Row],[CÓDIGO DEL PRODUCTO Y/O SERVICIO ]],Tabla3[],3,0)</f>
        <v>#N/A</v>
      </c>
      <c r="IM57" s="508" t="e">
        <f>Tabla1[[#This Row],[UNIDADES PRODUCIDAS AÑO 1 13]]*R43</f>
        <v>#N/A</v>
      </c>
      <c r="IN57" s="509" t="e">
        <f>VLOOKUP(Tabla1[[#This Row],[CÓDIGO DEL PRODUCTO Y/O SERVICIO ]],Tabla3[],9,0)</f>
        <v>#N/A</v>
      </c>
      <c r="IO57" s="508" t="e">
        <f>Tabla1[[#This Row],[CANTIDADES A UTILIZAR  AÑO 1 13]]*(1+Tabla1[[#This Row],[CAMBIO PORCENTUAL EN UNIDADES VENDIDAS AÑO 2 13]])</f>
        <v>#N/A</v>
      </c>
      <c r="IP57" s="509" t="e">
        <f>VLOOKUP(Tabla1[[#This Row],[CÓDIGO DEL PRODUCTO Y/O SERVICIO ]],Tabla3[],13,0)</f>
        <v>#N/A</v>
      </c>
      <c r="IQ57" s="508" t="e">
        <f>Tabla1[[#This Row],[CANTIDADES A UTILIZAR  AÑO 2 13]]*(1+Tabla1[[#This Row],[CAMBIO PORCENTUAL EN UNIDADES VENDIDAS AÑO 3 13]])</f>
        <v>#N/A</v>
      </c>
      <c r="IR57" s="508" t="e">
        <f>VLOOKUP(Tabla1[[#This Row],[CÓDIGO DEL PRODUCTO Y/O SERVICIO ]],Tabla3[],17,0)</f>
        <v>#N/A</v>
      </c>
      <c r="IS57" s="508" t="e">
        <f>Tabla1[[#This Row],[CANTIDADES A UTILIZAR  AÑO 3 13]]*(1+Tabla1[[#This Row],[CAMBIO PORCENTUAL EN UNIDADES VENDIDAS AÑO 4 13]])</f>
        <v>#N/A</v>
      </c>
      <c r="IT57" s="509" t="e">
        <f>VLOOKUP(Tabla1[[#This Row],[CÓDIGO DEL PRODUCTO Y/O SERVICIO ]],Tabla3[],21,0)</f>
        <v>#N/A</v>
      </c>
      <c r="IU57" s="508" t="e">
        <f>Tabla1[[#This Row],[CANTIDADES A UTILIZAR  AÑO 4 13]]*(1+Tabla1[[#This Row],[CAMBIO PORCENTUAL EN UNIDADES VENDIDAS AÑO 5 13]])</f>
        <v>#N/A</v>
      </c>
      <c r="IV57" s="510" t="e">
        <f>IF(Tabla1[[#This Row],[CANTIDADES A UTILIZAR  AÑO 1 13]]=0,0,Tabla1[[#This Row],[CANTIDADES A UTILIZAR  AÑO 1 13]]*1/Tabla1[[#This Row],[UNIDADES PRODUCIDAS AÑO 1 13]])</f>
        <v>#N/A</v>
      </c>
      <c r="IW57" s="510">
        <f>$D$28*(1+BASES!$E$14)</f>
        <v>0</v>
      </c>
      <c r="IX57" s="510">
        <f>Tabla1[[#This Row],[COSTO UNITARIO AÑO 2 13]]*(1+BASES!$F$14)</f>
        <v>0</v>
      </c>
      <c r="IY57" s="510">
        <f>Tabla1[[#This Row],[COSTO UNITARIO AÑO 3 13]]*(1+BASES!$G$14)</f>
        <v>0</v>
      </c>
      <c r="IZ57" s="510">
        <f>Tabla1[[#This Row],[COSTO UNITARIO AÑO 4 13]]*(1+BASES!$H$14)</f>
        <v>0</v>
      </c>
      <c r="JA57" s="510" t="e">
        <f>Tabla1[[#This Row],[COSTO POR UNIDAD DE PRODUCTO (13)]]*$D$28*VLOOKUP(Tabla1[[#This Row],[CÓDIGO DEL PRODUCTO Y/O SERVICIO ]],Tabla3[],3,0)</f>
        <v>#N/A</v>
      </c>
      <c r="JB57" s="510" t="e">
        <f>Tabla1[[#This Row],[COSTO POR UNIDAD DE PRODUCTO (13)]]*Tabla1[[#This Row],[COSTO UNITARIO AÑO 2 13]]*VLOOKUP(Tabla1[[#This Row],[CÓDIGO DEL PRODUCTO Y/O SERVICIO ]],Tabla3[],6,0)</f>
        <v>#N/A</v>
      </c>
      <c r="JC57" s="510" t="e">
        <f>Tabla1[[#This Row],[COSTO POR UNIDAD DE PRODUCTO (13)]]*Tabla1[[#This Row],[COSTO UNITARIO AÑO 3 13]]*VLOOKUP(Tabla1[[#This Row],[CÓDIGO DEL PRODUCTO Y/O SERVICIO ]],Tabla3[],10,0)</f>
        <v>#N/A</v>
      </c>
      <c r="JD57" s="510" t="e">
        <f>Tabla1[[#This Row],[COSTO POR UNIDAD DE PRODUCTO (13)]]*Tabla1[[#This Row],[COSTO UNITARIO AÑO 4 13]]*VLOOKUP(Tabla1[[#This Row],[CÓDIGO DEL PRODUCTO Y/O SERVICIO ]],Tabla3[],14,0)</f>
        <v>#N/A</v>
      </c>
      <c r="JE57" s="510" t="e">
        <f>Tabla1[[#This Row],[COSTO POR UNIDAD DE PRODUCTO (13)]]*Tabla1[[#This Row],[COSTO UNITARIO AÑO 5 13]]*VLOOKUP(Tabla1[[#This Row],[CÓDIGO DEL PRODUCTO Y/O SERVICIO ]],Tabla3[],18,0)</f>
        <v>#N/A</v>
      </c>
      <c r="JF57" s="508" t="e">
        <f>VLOOKUP(Tabla1[[#This Row],[CÓDIGO DEL PRODUCTO Y/O SERVICIO ]],Tabla3[],3,0)</f>
        <v>#N/A</v>
      </c>
      <c r="JG57" s="508" t="e">
        <f>Tabla1[[#This Row],[UNIDADES PRODUCIDAS AÑO 1 14]]*S43</f>
        <v>#N/A</v>
      </c>
      <c r="JH57" s="509" t="e">
        <f>VLOOKUP(Tabla1[[#This Row],[CÓDIGO DEL PRODUCTO Y/O SERVICIO ]],Tabla3[],9,0)</f>
        <v>#N/A</v>
      </c>
      <c r="JI57" s="508" t="e">
        <f>Tabla1[[#This Row],[CANTIDADES A UTILIZAR  AÑO 1 14]]*(1+Tabla1[[#This Row],[CAMBIO PORCENTUAL EN UNIDADES VENDIDAS AÑO 2 14]])</f>
        <v>#N/A</v>
      </c>
      <c r="JJ57" s="509" t="e">
        <f>VLOOKUP(Tabla1[[#This Row],[CÓDIGO DEL PRODUCTO Y/O SERVICIO ]],Tabla3[],13,0)</f>
        <v>#N/A</v>
      </c>
      <c r="JK57" s="508" t="e">
        <f>Tabla1[[#This Row],[CANTIDADES A UTILIZAR  AÑO 2 14]]*(1+Tabla1[[#This Row],[CAMBIO PORCENTUAL EN UNIDADES VENDIDAS AÑO 3 14]])</f>
        <v>#N/A</v>
      </c>
      <c r="JL57" s="509" t="e">
        <f>VLOOKUP(Tabla1[[#This Row],[CÓDIGO DEL PRODUCTO Y/O SERVICIO ]],Tabla3[],17,0)</f>
        <v>#N/A</v>
      </c>
      <c r="JM57" s="508" t="e">
        <f>Tabla1[[#This Row],[CANTIDADES A UTILIZAR AÑO 3 14]]*(1+Tabla1[[#This Row],[CAMBIO PORCENTUAL EN UNIDADES VENDIDAS AÑO 4 14]])</f>
        <v>#N/A</v>
      </c>
      <c r="JN57" s="509" t="e">
        <f>VLOOKUP(Tabla1[[#This Row],[CÓDIGO DEL PRODUCTO Y/O SERVICIO ]],Tabla3[],21,0)</f>
        <v>#N/A</v>
      </c>
      <c r="JO57" s="508" t="e">
        <f>Tabla1[[#This Row],[CANTIDADES A UTILIZAR  AÑO 4 14]]*(1+Tabla1[[#This Row],[CAMBIO PORCENTUAL EN UNIDADES VENDIDAS AÑO 5 14]])</f>
        <v>#N/A</v>
      </c>
      <c r="JP57" s="510" t="e">
        <f>IF(Tabla1[[#This Row],[CANTIDADES A UTILIZAR  AÑO 1 14]]=0,0,Tabla1[[#This Row],[CANTIDADES A UTILIZAR  AÑO 1 14]]*1/Tabla1[[#This Row],[UNIDADES PRODUCIDAS AÑO 1 14]])</f>
        <v>#N/A</v>
      </c>
      <c r="JQ57" s="510">
        <f>$D$29*(1+BASES!$E$14)</f>
        <v>0</v>
      </c>
      <c r="JR57" s="510">
        <f>Tabla1[[#This Row],[COSTO UNITARIO AÑO 2 14]]*(1+BASES!$F$14)</f>
        <v>0</v>
      </c>
      <c r="JS57" s="510">
        <f>Tabla1[[#This Row],[COSTO UNITARIO AÑO 3 14]]*(1+BASES!$G$14)</f>
        <v>0</v>
      </c>
      <c r="JT57" s="510">
        <f>Tabla1[[#This Row],[COSTO UNITARIO AÑO 4 14]]*(1+BASES!$H$14)</f>
        <v>0</v>
      </c>
      <c r="JU57" s="510" t="e">
        <f>Tabla1[[#This Row],[COSTO POR UNIDAD DE PRODUCTO (14)]]*$D$29*VLOOKUP(Tabla1[[#This Row],[CÓDIGO DEL PRODUCTO Y/O SERVICIO ]],Tabla3[],3,0)</f>
        <v>#N/A</v>
      </c>
      <c r="JV57" s="510" t="e">
        <f>Tabla1[[#This Row],[COSTO POR UNIDAD DE PRODUCTO (14)]]*Tabla1[[#This Row],[COSTO UNITARIO AÑO 2 14]]*VLOOKUP(Tabla1[[#This Row],[CÓDIGO DEL PRODUCTO Y/O SERVICIO ]],Tabla3[],6,0)</f>
        <v>#N/A</v>
      </c>
      <c r="JW57" s="510" t="e">
        <f>Tabla1[[#This Row],[COSTO POR UNIDAD DE PRODUCTO (14)]]*Tabla1[[#This Row],[COSTO UNITARIO AÑO 3 14]]*VLOOKUP(Tabla1[[#This Row],[CÓDIGO DEL PRODUCTO Y/O SERVICIO ]],Tabla3[],10,0)</f>
        <v>#N/A</v>
      </c>
      <c r="JX57" s="510" t="e">
        <f>Tabla1[[#This Row],[COSTO POR UNIDAD DE PRODUCTO (14)]]*Tabla1[[#This Row],[COSTO UNITARIO AÑO 4 14]]*VLOOKUP(Tabla1[[#This Row],[CÓDIGO DEL PRODUCTO Y/O SERVICIO ]],Tabla3[],14,0)</f>
        <v>#N/A</v>
      </c>
      <c r="JY57" s="510" t="e">
        <f>Tabla1[[#This Row],[COSTO POR UNIDAD DE PRODUCTO (14)]]*Tabla1[[#This Row],[COSTO UNITARIO AÑO 5 14]]*VLOOKUP(Tabla1[[#This Row],[CÓDIGO DEL PRODUCTO Y/O SERVICIO ]],Tabla3[],18,0)</f>
        <v>#N/A</v>
      </c>
      <c r="JZ57" s="508" t="e">
        <f>VLOOKUP(Tabla1[[#This Row],[CÓDIGO DEL PRODUCTO Y/O SERVICIO ]],Tabla3[],3,0)</f>
        <v>#N/A</v>
      </c>
      <c r="KA57" s="508" t="e">
        <f>Tabla1[[#This Row],[UNIDADES PRODUCIDAS AÑO 1 15]]*T43</f>
        <v>#N/A</v>
      </c>
      <c r="KB57" s="509" t="e">
        <f>VLOOKUP(Tabla1[[#This Row],[CÓDIGO DEL PRODUCTO Y/O SERVICIO ]],Tabla3[],9,0)</f>
        <v>#N/A</v>
      </c>
      <c r="KC57" s="508" t="e">
        <f>Tabla1[[#This Row],[CANTIDADES A UTILIZAR  AÑO 1 15]]*(1+Tabla1[[#This Row],[CAMBIO PORCENTUAL EN UNIDADES VENDIDAS AÑO 2 15]])</f>
        <v>#N/A</v>
      </c>
      <c r="KD57" s="509" t="e">
        <f>VLOOKUP(Tabla1[[#This Row],[CÓDIGO DEL PRODUCTO Y/O SERVICIO ]],Tabla3[],13,0)</f>
        <v>#N/A</v>
      </c>
      <c r="KE57" s="508" t="e">
        <f>Tabla1[[#This Row],[CANTIDADES A UTILIZAR  AÑO 2 15]]*(1+Tabla1[[#This Row],[CAMBIO PORCENTUAL EN UNIDADES VENDIDAS AÑO 3 15]])</f>
        <v>#N/A</v>
      </c>
      <c r="KF57" s="509" t="e">
        <f>VLOOKUP(Tabla1[[#This Row],[CÓDIGO DEL PRODUCTO Y/O SERVICIO ]],Tabla3[],17,0)</f>
        <v>#N/A</v>
      </c>
      <c r="KG57" s="508" t="e">
        <f>Tabla1[[#This Row],[CANTIDADES A UTILIZAR  AÑO 3 15]]*(1+Tabla1[[#This Row],[CAMBIO PORCENTUAL EN UNIDADES VENDIDAS AÑO 4 15]])</f>
        <v>#N/A</v>
      </c>
      <c r="KH57" s="509" t="e">
        <f>VLOOKUP(Tabla1[[#This Row],[CÓDIGO DEL PRODUCTO Y/O SERVICIO ]],Tabla3[],21,0)</f>
        <v>#N/A</v>
      </c>
      <c r="KI57" s="508" t="e">
        <f>Tabla1[[#This Row],[CANTIDADES A UTILIZAR  AÑO 4 15]]*(1+Tabla1[[#This Row],[CAMBIO PORCENTUAL EN UNIDADES VENDIDAS AÑO 5 15]])</f>
        <v>#N/A</v>
      </c>
      <c r="KJ57" s="510" t="e">
        <f>IF(Tabla1[[#This Row],[CANTIDADES A UTILIZAR  AÑO 1 15]]=0,0,Tabla1[[#This Row],[CANTIDADES A UTILIZAR  AÑO 1 15]]*1/Tabla1[[#This Row],[UNIDADES PRODUCIDAS AÑO 1 15]])</f>
        <v>#N/A</v>
      </c>
      <c r="KK57" s="510">
        <f>$D$30*(1+BASES!$E$14)</f>
        <v>0</v>
      </c>
      <c r="KL57" s="510">
        <f>Tabla1[[#This Row],[COSTO UNITARIO AÑO 2 15]]*(1+BASES!$F$14)</f>
        <v>0</v>
      </c>
      <c r="KM57" s="510">
        <f>Tabla1[[#This Row],[COSTO UNITARIO AÑO 3 15]]*(1+BASES!$G$14)</f>
        <v>0</v>
      </c>
      <c r="KN57" s="510">
        <f>Tabla1[[#This Row],[COSTO UNITARIO AÑO 4 15]]*(1+BASES!$H$14)</f>
        <v>0</v>
      </c>
      <c r="KO57" s="510" t="e">
        <f>Tabla1[[#This Row],[COSTO POR UNIDAD DE PRODUCTO (15)]]*$D$30*VLOOKUP(Tabla1[[#This Row],[CÓDIGO DEL PRODUCTO Y/O SERVICIO ]],Tabla3[],3,0)</f>
        <v>#N/A</v>
      </c>
      <c r="KP57" s="510" t="e">
        <f>Tabla1[[#This Row],[COSTO POR UNIDAD DE PRODUCTO (15)]]*Tabla1[[#This Row],[COSTO UNITARIO AÑO 2 15]]*VLOOKUP(Tabla1[[#This Row],[CÓDIGO DEL PRODUCTO Y/O SERVICIO ]],Tabla3[],6,0)</f>
        <v>#N/A</v>
      </c>
      <c r="KQ57" s="510" t="e">
        <f>Tabla1[[#This Row],[COSTO POR UNIDAD DE PRODUCTO (15)]]*Tabla1[[#This Row],[COSTO UNITARIO AÑO 3 15]]*VLOOKUP(Tabla1[[#This Row],[CÓDIGO DEL PRODUCTO Y/O SERVICIO ]],Tabla3[],10,0)</f>
        <v>#N/A</v>
      </c>
      <c r="KR57" s="510" t="e">
        <f>Tabla1[[#This Row],[COSTO POR UNIDAD DE PRODUCTO (15)]]*Tabla1[[#This Row],[COSTO UNITARIO AÑO 4 15]]*VLOOKUP(Tabla1[[#This Row],[CÓDIGO DEL PRODUCTO Y/O SERVICIO ]],Tabla3[],14,0)</f>
        <v>#N/A</v>
      </c>
      <c r="KS57" s="510" t="e">
        <f>Tabla1[[#This Row],[COSTO POR UNIDAD DE PRODUCTO (15)]]*Tabla1[[#This Row],[COSTO UNITARIO AÑO 5 15]]*VLOOKUP(Tabla1[[#This Row],[CÓDIGO DEL PRODUCTO Y/O SERVICIO ]],Tabla3[],18,0)</f>
        <v>#N/A</v>
      </c>
      <c r="KT57" s="508" t="e">
        <f>VLOOKUP(Tabla1[[#This Row],[CÓDIGO DEL PRODUCTO Y/O SERVICIO ]],Tabla3[],3,0)</f>
        <v>#N/A</v>
      </c>
      <c r="KU57" s="508" t="e">
        <f>Tabla1[[#This Row],[UNIDADES PRODUCIDAS AÑO 1 16]]*U43</f>
        <v>#N/A</v>
      </c>
      <c r="KV57" s="509" t="e">
        <f>VLOOKUP(Tabla1[[#This Row],[CÓDIGO DEL PRODUCTO Y/O SERVICIO ]],Tabla3[],9,0)</f>
        <v>#N/A</v>
      </c>
      <c r="KW57" s="508" t="e">
        <f>Tabla1[[#This Row],[CANTIDADES A UTILIZAR  AÑO 1 16]]*(1+Tabla1[[#This Row],[CAMBIO PORCENTUAL EN UNIDADES VENDIDAS AÑO 2 16]])</f>
        <v>#N/A</v>
      </c>
      <c r="KX57" s="509" t="e">
        <f>VLOOKUP(Tabla1[[#This Row],[CÓDIGO DEL PRODUCTO Y/O SERVICIO ]],Tabla3[],13,0)</f>
        <v>#N/A</v>
      </c>
      <c r="KY57" s="508" t="e">
        <f>Tabla1[[#This Row],[CANTIDADES A UTILIZAR  AÑO 2 16]]*(1+Tabla1[[#This Row],[CAMBIO PORCENTUAL EN UNIDADES VENDIDAS AÑO 3 16]])</f>
        <v>#N/A</v>
      </c>
      <c r="KZ57" s="509" t="e">
        <f>VLOOKUP(Tabla1[[#This Row],[CÓDIGO DEL PRODUCTO Y/O SERVICIO ]],Tabla3[],17,0)</f>
        <v>#N/A</v>
      </c>
      <c r="LA57" s="508" t="e">
        <f>Tabla1[[#This Row],[CANTIDADES A UTILIZAR  AÑO 3 16]]*(1+Tabla1[[#This Row],[CAMBIO PORCENTUAL EN UNIDADES VENDIDAS AÑO 4 16]])</f>
        <v>#N/A</v>
      </c>
      <c r="LB57" s="509" t="e">
        <f>VLOOKUP(Tabla1[[#This Row],[CÓDIGO DEL PRODUCTO Y/O SERVICIO ]],Tabla3[],21,0)</f>
        <v>#N/A</v>
      </c>
      <c r="LC57" s="508" t="e">
        <f>Tabla1[[#This Row],[CANTIDADES A UTILIZAR  AÑO 4 16]]*(1+Tabla1[[#This Row],[CAMBIO PORCENTUAL EN UNIDADES VENDIDAS AÑO 5 16]])</f>
        <v>#N/A</v>
      </c>
      <c r="LD57" s="510" t="e">
        <f>IF(Tabla1[[#This Row],[CANTIDADES A UTILIZAR  AÑO 1 16]]=0,0,Tabla1[[#This Row],[CANTIDADES A UTILIZAR  AÑO 1 16]]*1/Tabla1[[#This Row],[UNIDADES PRODUCIDAS AÑO 1 16]])</f>
        <v>#N/A</v>
      </c>
      <c r="LE57" s="510">
        <f>$D$31*(1+BASES!$E$14)</f>
        <v>0</v>
      </c>
      <c r="LF57" s="510">
        <f>Tabla1[[#This Row],[COSTO UNITARIO AÑO 2 16]]*(1+BASES!$F$14)</f>
        <v>0</v>
      </c>
      <c r="LG57" s="510">
        <f>Tabla1[[#This Row],[COSTO UNITARIO AÑO 3 16]]*(1+BASES!$G$14)</f>
        <v>0</v>
      </c>
      <c r="LH57" s="510">
        <f>Tabla1[[#This Row],[COSTO UNITARIO AÑO 4 16]]*(1+BASES!$H$14)</f>
        <v>0</v>
      </c>
      <c r="LI57" s="510" t="e">
        <f>Tabla1[[#This Row],[COSTO POR UNIDAD DE PRODUCTO (16)]]*$D$31*VLOOKUP(Tabla1[[#This Row],[CÓDIGO DEL PRODUCTO Y/O SERVICIO ]],Tabla3[],3,0)</f>
        <v>#N/A</v>
      </c>
      <c r="LJ57" s="510" t="e">
        <f>Tabla1[[#This Row],[COSTO POR UNIDAD DE PRODUCTO (16)]]*Tabla1[[#This Row],[COSTO UNITARIO AÑO 2 16]]*VLOOKUP(Tabla1[[#This Row],[CÓDIGO DEL PRODUCTO Y/O SERVICIO ]],Tabla3[],6,0)</f>
        <v>#N/A</v>
      </c>
      <c r="LK57" s="510" t="e">
        <f>Tabla1[[#This Row],[COSTO POR UNIDAD DE PRODUCTO (16)]]*Tabla1[[#This Row],[COSTO UNITARIO AÑO 3 16]]*VLOOKUP(Tabla1[[#This Row],[CÓDIGO DEL PRODUCTO Y/O SERVICIO ]],Tabla3[],10,0)</f>
        <v>#N/A</v>
      </c>
      <c r="LL57" s="510" t="e">
        <f>Tabla1[[#This Row],[COSTO POR UNIDAD DE PRODUCTO (16)]]*Tabla1[[#This Row],[COSTO UNITARIO AÑO 4 16]]*VLOOKUP(Tabla1[[#This Row],[CÓDIGO DEL PRODUCTO Y/O SERVICIO ]],Tabla3[],14,0)</f>
        <v>#N/A</v>
      </c>
      <c r="LM57" s="510" t="e">
        <f>Tabla1[[#This Row],[COSTO POR UNIDAD DE PRODUCTO (16)]]*Tabla1[[#This Row],[COSTO UNITARIO AÑO 5 16]]*VLOOKUP(Tabla1[[#This Row],[CÓDIGO DEL PRODUCTO Y/O SERVICIO ]],Tabla3[],18,0)</f>
        <v>#N/A</v>
      </c>
      <c r="LN57" s="508" t="e">
        <f>VLOOKUP(Tabla1[[#This Row],[CÓDIGO DEL PRODUCTO Y/O SERVICIO ]],Tabla3[],3,0)</f>
        <v>#N/A</v>
      </c>
      <c r="LO57" s="508" t="e">
        <f>Tabla1[[#This Row],[UNIDADES PRODUCIDAS AÑO 1 17]]*V43</f>
        <v>#N/A</v>
      </c>
      <c r="LP57" s="509" t="e">
        <f>VLOOKUP(Tabla1[[#This Row],[CÓDIGO DEL PRODUCTO Y/O SERVICIO ]],Tabla3[],9,0)</f>
        <v>#N/A</v>
      </c>
      <c r="LQ57" s="508" t="e">
        <f>Tabla1[[#This Row],[CANTIDADES A UTILIZAR  AÑO 1 17]]*(1+Tabla1[[#This Row],[CAMBIO PORCENTUAL EN UNIDADES VENDIDAS AÑO 2 17]])</f>
        <v>#N/A</v>
      </c>
      <c r="LR57" s="509" t="e">
        <f>VLOOKUP(Tabla1[[#This Row],[CÓDIGO DEL PRODUCTO Y/O SERVICIO ]],Tabla3[],13,0)</f>
        <v>#N/A</v>
      </c>
      <c r="LS57" s="508" t="e">
        <f>Tabla1[[#This Row],[CANTIDADES A UTILIZAR  AÑO 2 17]]*(1+Tabla1[[#This Row],[CAMBIO PORCENTUAL EN UNIDADES VENDIDAS AÑO 3 17]])</f>
        <v>#N/A</v>
      </c>
      <c r="LT57" s="509" t="e">
        <f>VLOOKUP(Tabla1[[#This Row],[CÓDIGO DEL PRODUCTO Y/O SERVICIO ]],Tabla3[],17,0)</f>
        <v>#N/A</v>
      </c>
      <c r="LU57" s="508" t="e">
        <f>Tabla1[[#This Row],[CANTIDADES A UTILIZAR  AÑO 3 17]]*(1+Tabla1[[#This Row],[CAMBIO PORCENTUAL EN UNIDADES VENDIDAS AÑO 4 17 ]])</f>
        <v>#N/A</v>
      </c>
      <c r="LV57" s="509" t="e">
        <f>VLOOKUP(Tabla1[[#This Row],[CÓDIGO DEL PRODUCTO Y/O SERVICIO ]],Tabla3[],21,0)</f>
        <v>#N/A</v>
      </c>
      <c r="LW57" s="508" t="e">
        <f>Tabla1[[#This Row],[CANTIDADES A UTILIZAR  AÑO 4 17]]*(1+Tabla1[[#This Row],[CAMBIO PORCENTUAL EN UNIDADES VENDIDAS AÑO 5 17]])</f>
        <v>#N/A</v>
      </c>
      <c r="LX57" s="510" t="e">
        <f>IF(Tabla1[[#This Row],[CANTIDADES A UTILIZAR  AÑO 1 17]]=0,0,Tabla1[[#This Row],[CANTIDADES A UTILIZAR  AÑO 1 17]]*1/Tabla1[[#This Row],[UNIDADES PRODUCIDAS AÑO 1 17]])</f>
        <v>#N/A</v>
      </c>
      <c r="LY57" s="510">
        <f>$D$32*(1+BASES!$E$14)</f>
        <v>0</v>
      </c>
      <c r="LZ57" s="510">
        <f>Tabla1[[#This Row],[COSTO UNITARIO AÑO 2 17]]*(1+BASES!$F$14)</f>
        <v>0</v>
      </c>
      <c r="MA57" s="510">
        <f>Tabla1[[#This Row],[COSTO UNITARIO AÑO 3 17]]*(1+BASES!$G$14)</f>
        <v>0</v>
      </c>
      <c r="MB57" s="510">
        <f>Tabla1[[#This Row],[COSTO UNITARIO AÑO 4 17]]*(1+BASES!$H$14)</f>
        <v>0</v>
      </c>
      <c r="MC57" s="510" t="e">
        <f>Tabla1[[#This Row],[COSTO POR UNIDAD DE PRODUCTO (17)]]*$D$32*VLOOKUP(Tabla1[[#This Row],[CÓDIGO DEL PRODUCTO Y/O SERVICIO ]],Tabla3[],3,0)</f>
        <v>#N/A</v>
      </c>
      <c r="MD57" s="510" t="e">
        <f>Tabla1[[#This Row],[COSTO POR UNIDAD DE PRODUCTO (17)]]*Tabla1[[#This Row],[COSTO UNITARIO AÑO 2 17]]*VLOOKUP(Tabla1[[#This Row],[CÓDIGO DEL PRODUCTO Y/O SERVICIO ]],Tabla3[],6,0)</f>
        <v>#N/A</v>
      </c>
      <c r="ME57" s="510" t="e">
        <f>Tabla1[[#This Row],[COSTO POR UNIDAD DE PRODUCTO (17)]]*Tabla1[[#This Row],[COSTO UNITARIO AÑO 3 17]]*VLOOKUP(Tabla1[[#This Row],[CÓDIGO DEL PRODUCTO Y/O SERVICIO ]],Tabla3[],10,0)</f>
        <v>#N/A</v>
      </c>
      <c r="MF57" s="510" t="e">
        <f>Tabla1[[#This Row],[COSTO POR UNIDAD DE PRODUCTO (17)]]*Tabla1[[#This Row],[COSTO UNITARIO AÑO 4 17]]*VLOOKUP(Tabla1[[#This Row],[CÓDIGO DEL PRODUCTO Y/O SERVICIO ]],Tabla3[],14,0)</f>
        <v>#N/A</v>
      </c>
      <c r="MG57" s="510" t="e">
        <f>Tabla1[[#This Row],[COSTO POR UNIDAD DE PRODUCTO (17)]]*Tabla1[[#This Row],[COSTO UNITARIO AÑO 5 17]]*VLOOKUP(Tabla1[[#This Row],[CÓDIGO DEL PRODUCTO Y/O SERVICIO ]],Tabla3[],18,0)</f>
        <v>#N/A</v>
      </c>
      <c r="MH57" s="508" t="e">
        <f>VLOOKUP(Tabla1[[#This Row],[CÓDIGO DEL PRODUCTO Y/O SERVICIO ]],Tabla3[],3,0)</f>
        <v>#N/A</v>
      </c>
      <c r="MI57" s="508" t="e">
        <f>Tabla1[[#This Row],[UNIDADES PRODUCIDAS AÑO 1 18 ]]*W43</f>
        <v>#N/A</v>
      </c>
      <c r="MJ57" s="509" t="e">
        <f>VLOOKUP(Tabla1[[#This Row],[CÓDIGO DEL PRODUCTO Y/O SERVICIO ]],Tabla3[],9,0)</f>
        <v>#N/A</v>
      </c>
      <c r="MK57" s="508" t="e">
        <f>Tabla1[[#This Row],[CANTIDADES A UTILIZAR  AÑO 1 18]]*(1+Tabla1[[#This Row],[CAMBIO PORCENTUAL EN UNIDADES VENDIDAS AÑO 2 18]])</f>
        <v>#N/A</v>
      </c>
      <c r="ML57" s="509" t="e">
        <f>VLOOKUP(Tabla1[[#This Row],[CÓDIGO DEL PRODUCTO Y/O SERVICIO ]],Tabla3[],13,0)</f>
        <v>#N/A</v>
      </c>
      <c r="MM57" s="508" t="e">
        <f>Tabla1[[#This Row],[CANTIDADES A UTILIZAR AÑO 2 18]]*(1+Tabla1[[#This Row],[CAMBIO PORCENTUAL EN UNIDADES VENDIDAS AÑO 3 18 ]])</f>
        <v>#N/A</v>
      </c>
      <c r="MN57" s="509" t="e">
        <f>VLOOKUP(Tabla1[[#This Row],[CÓDIGO DEL PRODUCTO Y/O SERVICIO ]],Tabla3[],17,0)</f>
        <v>#N/A</v>
      </c>
      <c r="MO57" s="508" t="e">
        <f>Tabla1[[#This Row],[CANTIDADES A UTILIZAR  AÑO 3 18]]*(1+Tabla1[[#This Row],[CAMBIO PORCENTUAL EN UNIDADES VENDIDAS AÑO 4 18]])</f>
        <v>#N/A</v>
      </c>
      <c r="MP57" s="509" t="e">
        <f>VLOOKUP(Tabla1[[#This Row],[CÓDIGO DEL PRODUCTO Y/O SERVICIO ]],Tabla3[],21,0)</f>
        <v>#N/A</v>
      </c>
      <c r="MQ57" s="508" t="e">
        <f>Tabla1[[#This Row],[CANTIDADES A UTILIZAR  AÑO 4 18 ]]*(1+Tabla1[[#This Row],[CAMBIO PORCENTUAL EN UNIDADES VENDIDAS AÑO 5 18 ]])</f>
        <v>#N/A</v>
      </c>
      <c r="MR57" s="510" t="e">
        <f>IF(Tabla1[[#This Row],[CANTIDADES A UTILIZAR  AÑO 1 18]]=0,0,Tabla1[[#This Row],[CANTIDADES A UTILIZAR  AÑO 1 18]]*1/Tabla1[[#This Row],[UNIDADES PRODUCIDAS AÑO 1 18 ]])</f>
        <v>#N/A</v>
      </c>
      <c r="MS57" s="510">
        <f>$D$33*(1+BASES!$E$14)</f>
        <v>0</v>
      </c>
      <c r="MT57" s="510">
        <f>Tabla1[[#This Row],[COSTO UNITARIO AÑO 2 18]]*(1+BASES!$F$14)</f>
        <v>0</v>
      </c>
      <c r="MU57" s="510">
        <f>Tabla1[[#This Row],[COSTO UNITARIO AÑO 3 18 ]]*(1+BASES!$G$14)</f>
        <v>0</v>
      </c>
      <c r="MV57" s="510">
        <f>Tabla1[[#This Row],[COSTO UNITARIO AÑO 4 18 ]]*(1+BASES!$H$14)</f>
        <v>0</v>
      </c>
      <c r="MW57" s="510" t="e">
        <f>Tabla1[[#This Row],[COSTO POR UNIDAD DE PRODUCTO (18)]]*$D$33*VLOOKUP(Tabla1[[#This Row],[CÓDIGO DEL PRODUCTO Y/O SERVICIO ]],Tabla3[],3,0)</f>
        <v>#N/A</v>
      </c>
      <c r="MX57" s="510" t="e">
        <f>Tabla1[[#This Row],[COSTO POR UNIDAD DE PRODUCTO (18)]]*Tabla1[[#This Row],[COSTO UNITARIO AÑO 2 18]]*VLOOKUP(Tabla1[[#This Row],[CÓDIGO DEL PRODUCTO Y/O SERVICIO ]],Tabla3[],6,0)</f>
        <v>#N/A</v>
      </c>
      <c r="MY57" s="510" t="e">
        <f>Tabla1[[#This Row],[COSTO POR UNIDAD DE PRODUCTO (18)]]*Tabla1[[#This Row],[COSTO UNITARIO AÑO 3 18 ]]*VLOOKUP(Tabla1[[#This Row],[CÓDIGO DEL PRODUCTO Y/O SERVICIO ]],Tabla3[],10,0)</f>
        <v>#N/A</v>
      </c>
      <c r="MZ57" s="510" t="e">
        <f>Tabla1[[#This Row],[COSTO POR UNIDAD DE PRODUCTO (18)]]*Tabla1[[#This Row],[COSTO UNITARIO AÑO 4 18 ]]*VLOOKUP(Tabla1[[#This Row],[CÓDIGO DEL PRODUCTO Y/O SERVICIO ]],Tabla3[],14,0)</f>
        <v>#N/A</v>
      </c>
      <c r="NA57" s="510" t="e">
        <f>Tabla1[[#This Row],[COSTO POR UNIDAD DE PRODUCTO (18)]]*Tabla1[[#This Row],[COSTO UNITARIO AÑO 5 18 ]]*VLOOKUP(Tabla1[[#This Row],[CÓDIGO DEL PRODUCTO Y/O SERVICIO ]],Tabla3[],18,0)</f>
        <v>#N/A</v>
      </c>
      <c r="NB57" s="508" t="e">
        <f>VLOOKUP(Tabla1[[#This Row],[CÓDIGO DEL PRODUCTO Y/O SERVICIO ]],Tabla3[],3,0)</f>
        <v>#N/A</v>
      </c>
      <c r="NC57" s="508" t="e">
        <f>Tabla1[[#This Row],[UNIDADES PRODUCIDAS AÑO 1 19]]*X43</f>
        <v>#N/A</v>
      </c>
      <c r="ND57" s="509" t="e">
        <f>VLOOKUP(Tabla1[[#This Row],[CÓDIGO DEL PRODUCTO Y/O SERVICIO ]],Tabla3[],9,0)</f>
        <v>#N/A</v>
      </c>
      <c r="NE57" s="508" t="e">
        <f>Tabla1[[#This Row],[CANTIDADES A UTILIZAR  AÑO 1 19 ]]*(1+Tabla1[[#This Row],[CAMBIO PORCENTUAL EN UNIDADES VENDIDAS AÑO 2 19]])</f>
        <v>#N/A</v>
      </c>
      <c r="NF57" s="509" t="e">
        <f>VLOOKUP(Tabla1[[#This Row],[CÓDIGO DEL PRODUCTO Y/O SERVICIO ]],Tabla3[],13,0)</f>
        <v>#N/A</v>
      </c>
      <c r="NG57" s="508" t="e">
        <f>Tabla1[[#This Row],[CANTIDADES A UTILIZAR  AÑO 2 19 ]]*(1+Tabla1[[#This Row],[CAMBIO PORCENTUAL EN UNIDADES VENDIDAS AÑO 3 19 ]])</f>
        <v>#N/A</v>
      </c>
      <c r="NH57" s="509" t="e">
        <f>VLOOKUP(Tabla1[[#This Row],[CÓDIGO DEL PRODUCTO Y/O SERVICIO ]],Tabla3[],17,0)</f>
        <v>#N/A</v>
      </c>
      <c r="NI57" s="508" t="e">
        <f>Tabla1[[#This Row],[CANTIDADES A UTILIZAR  AÑO 3 19 ]]*(1+Tabla1[[#This Row],[CAMBIO PORCENTUAL EN UNIDADES VENDIDAS AÑO 4 19 ]])</f>
        <v>#N/A</v>
      </c>
      <c r="NJ57" s="509" t="e">
        <f>VLOOKUP(Tabla1[[#This Row],[CÓDIGO DEL PRODUCTO Y/O SERVICIO ]],Tabla3[],21,0)</f>
        <v>#N/A</v>
      </c>
      <c r="NK57" s="508" t="e">
        <f>Tabla1[[#This Row],[CANTIDADES A UTILIZAR AÑO 4 19 ]]*(1+Tabla1[[#This Row],[CAMBIO PORCENTUAL EN UNIDADES VENDIDAS AÑO 5 19 ]])</f>
        <v>#N/A</v>
      </c>
      <c r="NL57" s="510" t="e">
        <f>IF(Tabla1[[#This Row],[CANTIDADES A UTILIZAR  AÑO 1 19 ]]=0,0,Tabla1[[#This Row],[CANTIDADES A UTILIZAR  AÑO 1 19 ]]*1/Tabla1[[#This Row],[UNIDADES PRODUCIDAS AÑO 1 19]])</f>
        <v>#N/A</v>
      </c>
      <c r="NM57" s="510">
        <f>$D$34*(1+BASES!$E$14)</f>
        <v>0</v>
      </c>
      <c r="NN57" s="510">
        <f>Tabla1[[#This Row],[COSTO UNITARIO AÑO 2 19 ]]*(1+BASES!$F$14)</f>
        <v>0</v>
      </c>
      <c r="NO57" s="510">
        <f>Tabla1[[#This Row],[COSTO UNITARIO AÑO 3 19 ]]*(1+BASES!$G$14)</f>
        <v>0</v>
      </c>
      <c r="NP57" s="510">
        <f>Tabla1[[#This Row],[COSTO UNITARIO AÑO 4 19 ]]*(1+BASES!$H$14)</f>
        <v>0</v>
      </c>
      <c r="NQ57" s="510" t="e">
        <f>Tabla1[[#This Row],[COSTO POR UNIDAD DE PRODUCTO (19)]]*$D$34*VLOOKUP(Tabla1[[#This Row],[CÓDIGO DEL PRODUCTO Y/O SERVICIO ]],Tabla3[],3,0)</f>
        <v>#N/A</v>
      </c>
      <c r="NR57" s="510" t="e">
        <f>Tabla1[[#This Row],[COSTO POR UNIDAD DE PRODUCTO (19)]]*Tabla1[[#This Row],[COSTO UNITARIO AÑO 2 19 ]]*VLOOKUP(Tabla1[[#This Row],[CÓDIGO DEL PRODUCTO Y/O SERVICIO ]],Tabla3[],6,0)</f>
        <v>#N/A</v>
      </c>
      <c r="NS57" s="510" t="e">
        <f>Tabla1[[#This Row],[COSTO POR UNIDAD DE PRODUCTO (19)]]*Tabla1[[#This Row],[COSTO UNITARIO AÑO 3 19 ]]*VLOOKUP(Tabla1[[#This Row],[CÓDIGO DEL PRODUCTO Y/O SERVICIO ]],Tabla3[],10,0)</f>
        <v>#N/A</v>
      </c>
      <c r="NT57" s="510" t="e">
        <f>Tabla1[[#This Row],[COSTO POR UNIDAD DE PRODUCTO (19)]]*Tabla1[[#This Row],[COSTO UNITARIO AÑO 4 19 ]]*VLOOKUP(Tabla1[[#This Row],[CÓDIGO DEL PRODUCTO Y/O SERVICIO ]],Tabla3[],14,0)</f>
        <v>#N/A</v>
      </c>
      <c r="NU57" s="510" t="e">
        <f>Tabla1[[#This Row],[COSTO POR UNIDAD DE PRODUCTO (19)]]*Tabla1[[#This Row],[COSTO UNITARIO AÑO 5 19 ]]*VLOOKUP(Tabla1[[#This Row],[CÓDIGO DEL PRODUCTO Y/O SERVICIO ]],Tabla3[],18,0)</f>
        <v>#N/A</v>
      </c>
      <c r="NV57" s="508" t="e">
        <f>VLOOKUP(Tabla1[[#This Row],[CÓDIGO DEL PRODUCTO Y/O SERVICIO ]],Tabla3[],3,0)</f>
        <v>#N/A</v>
      </c>
      <c r="NW57" s="508" t="e">
        <f>Tabla1[[#This Row],[UNIDADES PRODUCIDAS AÑO 1 20 ]]*Y43</f>
        <v>#N/A</v>
      </c>
      <c r="NX57" s="509" t="e">
        <f>VLOOKUP(Tabla1[[#This Row],[CÓDIGO DEL PRODUCTO Y/O SERVICIO ]],Tabla3[],9,0)</f>
        <v>#N/A</v>
      </c>
      <c r="NY57" s="508" t="e">
        <f>Tabla1[[#This Row],[CANTIDADES A UTILIZAR AÑO 1 20]]*(1+Tabla1[[#This Row],[CAMBIO PORCENTUAL EN UNIDADES VENDIDAS AÑO 2 20 ]])</f>
        <v>#N/A</v>
      </c>
      <c r="NZ57" s="509" t="e">
        <f>VLOOKUP(Tabla1[[#This Row],[CÓDIGO DEL PRODUCTO Y/O SERVICIO ]],Tabla3[],13,0)</f>
        <v>#N/A</v>
      </c>
      <c r="OA57" s="508" t="e">
        <f>Tabla1[[#This Row],[CANTIDADES A UTILIZAR  AÑO 2 20 ]]*(1+Tabla1[[#This Row],[CAMBIO PORCENTUAL EN UNIDADES VENDIDAS AÑO 3 20 ]])</f>
        <v>#N/A</v>
      </c>
      <c r="OB57" s="509" t="e">
        <f>VLOOKUP(Tabla1[[#This Row],[CÓDIGO DEL PRODUCTO Y/O SERVICIO ]],Tabla3[],17,0)</f>
        <v>#N/A</v>
      </c>
      <c r="OC57" s="508" t="e">
        <f>Tabla1[[#This Row],[CANTIDADES A UTILIZAR  AÑO 3 20 ]]*(1+Tabla1[[#This Row],[CAMBIO PORCENTUAL EN UNIDADES VENDIDAS AÑO 4 20 ]])</f>
        <v>#N/A</v>
      </c>
      <c r="OD57" s="509" t="e">
        <f>VLOOKUP(Tabla1[[#This Row],[CÓDIGO DEL PRODUCTO Y/O SERVICIO ]],Tabla3[],21,0)</f>
        <v>#N/A</v>
      </c>
      <c r="OE57" s="508" t="e">
        <f>Tabla1[[#This Row],[CANTIDADES A UTILIZAR  AÑO 4 20 ]]*(1+Tabla1[[#This Row],[CAMBIO PORCENTUAL EN UNIDADES VENDIDAS AÑO 5 20 ]])</f>
        <v>#N/A</v>
      </c>
      <c r="OF57" s="510" t="e">
        <f>IF(Tabla1[[#This Row],[CANTIDADES A UTILIZAR AÑO 1 20]]=0,0,Tabla1[[#This Row],[CANTIDADES A UTILIZAR AÑO 1 20]]*1/Tabla1[[#This Row],[UNIDADES PRODUCIDAS AÑO 1 20 ]])</f>
        <v>#N/A</v>
      </c>
      <c r="OG57" s="510">
        <f>$D$35*(1+BASES!$E$14)</f>
        <v>0</v>
      </c>
      <c r="OH57" s="510">
        <f>Tabla1[[#This Row],[COSTO UNITARIO AÑO 2 20 ]]*(1+BASES!$F$14)</f>
        <v>0</v>
      </c>
      <c r="OI57" s="510">
        <f>Tabla1[[#This Row],[COSTO UNITARIO AÑO 3 20 ]]*(1+BASES!$G$14)</f>
        <v>0</v>
      </c>
      <c r="OJ57" s="510">
        <f>Tabla1[[#This Row],[COSTO UNITARIO AÑO 4 20 ]]*(1+BASES!$H$14)</f>
        <v>0</v>
      </c>
      <c r="OK57" s="510" t="e">
        <f>Tabla1[[#This Row],[COSTO POR UNIDAD DE PRODUCTO (20)]]*$D$35*VLOOKUP(Tabla1[[#This Row],[CÓDIGO DEL PRODUCTO Y/O SERVICIO ]],Tabla3[],3,0)</f>
        <v>#N/A</v>
      </c>
      <c r="OL57" s="510" t="e">
        <f>Tabla1[[#This Row],[COSTO POR UNIDAD DE PRODUCTO (20)]]*Tabla1[[#This Row],[COSTO UNITARIO AÑO 2 20 ]]*VLOOKUP(Tabla1[[#This Row],[CÓDIGO DEL PRODUCTO Y/O SERVICIO ]],Tabla3[],6,0)</f>
        <v>#N/A</v>
      </c>
      <c r="OM57" s="510" t="e">
        <f>Tabla1[[#This Row],[COSTO POR UNIDAD DE PRODUCTO (20)]]*Tabla1[[#This Row],[COSTO UNITARIO AÑO 3 20 ]]*VLOOKUP(Tabla1[[#This Row],[CÓDIGO DEL PRODUCTO Y/O SERVICIO ]],Tabla3[],10,0)</f>
        <v>#N/A</v>
      </c>
      <c r="ON57" s="510" t="e">
        <f>Tabla1[[#This Row],[COSTO POR UNIDAD DE PRODUCTO (20)]]*Tabla1[[#This Row],[COSTO UNITARIO AÑO 4 20 ]]*VLOOKUP(Tabla1[[#This Row],[CÓDIGO DEL PRODUCTO Y/O SERVICIO ]],Tabla3[],14,0)</f>
        <v>#N/A</v>
      </c>
      <c r="OO57" s="510" t="e">
        <f>Tabla1[[#This Row],[COSTO POR UNIDAD DE PRODUCTO (20)]]*Tabla1[[#This Row],[COSTO UNITARIO AÑO 5 20 ]]*VLOOKUP(Tabla1[[#This Row],[CÓDIGO DEL PRODUCTO Y/O SERVICIO ]],Tabla3[],18,0)</f>
        <v>#N/A</v>
      </c>
      <c r="OP57" s="510" t="e">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#N/A</v>
      </c>
      <c r="OQ57" s="510" t="e">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#N/A</v>
      </c>
      <c r="OR57" s="510" t="e">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#N/A</v>
      </c>
      <c r="OS57" s="510" t="e">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#N/A</v>
      </c>
      <c r="OT57" s="510" t="e">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#N/A</v>
      </c>
    </row>
    <row r="60" spans="3:410" x14ac:dyDescent="0.25">
      <c r="F60" s="279"/>
    </row>
    <row r="61" spans="3:410" x14ac:dyDescent="0.25">
      <c r="E61" s="279"/>
      <c r="F61" s="279"/>
    </row>
    <row r="64" spans="3:410" x14ac:dyDescent="0.25">
      <c r="C64" s="282"/>
      <c r="D64" s="282"/>
    </row>
    <row r="65" spans="1:405" x14ac:dyDescent="0.25">
      <c r="C65" s="282"/>
      <c r="D65" s="282"/>
    </row>
    <row r="66" spans="1:405" x14ac:dyDescent="0.25">
      <c r="C66" s="282"/>
      <c r="D66" s="282"/>
    </row>
    <row r="67" spans="1:405" ht="15.75" x14ac:dyDescent="0.25">
      <c r="C67" s="282"/>
      <c r="D67" s="282"/>
      <c r="U67" s="317"/>
      <c r="V67" s="317"/>
      <c r="W67" s="317"/>
      <c r="X67" s="317"/>
      <c r="Y67" s="317"/>
      <c r="AO67" s="317"/>
      <c r="AP67" s="317"/>
      <c r="AQ67" s="317"/>
      <c r="AR67" s="317"/>
      <c r="AS67" s="317"/>
    </row>
    <row r="68" spans="1:405" ht="15.75" x14ac:dyDescent="0.25">
      <c r="A68" s="7"/>
      <c r="B68" s="7"/>
      <c r="C68" s="318"/>
      <c r="D68" s="318"/>
      <c r="E68" s="7"/>
      <c r="F68" s="7"/>
      <c r="G68" s="7"/>
      <c r="H68" s="7"/>
      <c r="I68" s="7"/>
      <c r="J68" s="7"/>
      <c r="K68" s="7"/>
      <c r="L68" s="7"/>
      <c r="M68" s="7"/>
      <c r="N68" s="7"/>
      <c r="O68" s="7"/>
      <c r="P68" s="7"/>
      <c r="Q68" s="7"/>
      <c r="R68" s="7"/>
      <c r="S68" s="7"/>
      <c r="T68" s="7"/>
      <c r="U68" s="319" t="e">
        <f>SUM(Tabla1[AÑO 1])</f>
        <v>#N/A</v>
      </c>
      <c r="V68" s="319" t="e">
        <f>SUM(Tabla1[AÑO 2])</f>
        <v>#N/A</v>
      </c>
      <c r="W68" s="319" t="e">
        <f>SUM(Tabla1[[AÑO 3 ]])</f>
        <v>#N/A</v>
      </c>
      <c r="X68" s="319" t="e">
        <f>SUM(Tabla1[[AÑO 4 ]])</f>
        <v>#N/A</v>
      </c>
      <c r="Y68" s="319" t="e">
        <f>SUM(Tabla1[[AÑO 5 ]])</f>
        <v>#N/A</v>
      </c>
      <c r="Z68" s="7"/>
      <c r="AA68" s="7"/>
      <c r="AB68" s="7"/>
      <c r="AC68" s="7"/>
      <c r="AD68" s="7"/>
      <c r="AE68" s="7"/>
      <c r="AF68" s="7"/>
      <c r="AG68" s="7"/>
      <c r="AH68" s="7"/>
      <c r="AI68" s="7"/>
      <c r="AJ68" s="7"/>
      <c r="AK68" s="7"/>
      <c r="AL68" s="7"/>
      <c r="AM68" s="7"/>
      <c r="AN68" s="7"/>
      <c r="AO68" s="319" t="e">
        <f>SUM(Tabla1[AÑO 1 2])</f>
        <v>#N/A</v>
      </c>
      <c r="AP68" s="319" t="e">
        <f>SUM(Tabla1[AÑO 2 2])</f>
        <v>#N/A</v>
      </c>
      <c r="AQ68" s="319" t="e">
        <f>SUM(Tabla1[AÑO 3 2])</f>
        <v>#N/A</v>
      </c>
      <c r="AR68" s="319" t="e">
        <f>SUM(Tabla1[AÑO 4 2])</f>
        <v>#N/A</v>
      </c>
      <c r="AS68" s="319" t="e">
        <f>SUM(Tabla1[AÑO 5 2])</f>
        <v>#N/A</v>
      </c>
      <c r="AT68" s="7"/>
      <c r="AU68" s="7"/>
      <c r="AV68" s="7"/>
      <c r="AW68" s="7"/>
      <c r="AX68" s="7"/>
      <c r="AY68" s="7"/>
      <c r="AZ68" s="7"/>
      <c r="BA68" s="7"/>
      <c r="BB68" s="7"/>
      <c r="BC68" s="7"/>
      <c r="BD68" s="7"/>
      <c r="BE68" s="7"/>
      <c r="BF68" s="7"/>
      <c r="BG68" s="7"/>
      <c r="BH68" s="7"/>
      <c r="BI68" s="319" t="e">
        <f>SUM(Tabla1[AÑO 1 3])</f>
        <v>#N/A</v>
      </c>
      <c r="BJ68" s="319" t="e">
        <f>SUM(Tabla1[AÑO 2 3])</f>
        <v>#N/A</v>
      </c>
      <c r="BK68" s="319" t="e">
        <f>SUM(Tabla1[AÑO 3 3])</f>
        <v>#N/A</v>
      </c>
      <c r="BL68" s="319" t="e">
        <f>SUM(Tabla1[AÑO 4 3])</f>
        <v>#N/A</v>
      </c>
      <c r="BM68" s="319" t="e">
        <f>SUM(Tabla1[AÑO 5 3])</f>
        <v>#N/A</v>
      </c>
      <c r="BN68" s="7"/>
      <c r="BO68" s="7"/>
      <c r="BP68" s="7"/>
      <c r="BQ68" s="7"/>
      <c r="BR68" s="7"/>
      <c r="BS68" s="7"/>
      <c r="BT68" s="7"/>
      <c r="BU68" s="7"/>
      <c r="BV68" s="7"/>
      <c r="BW68" s="7"/>
      <c r="BX68" s="7"/>
      <c r="BY68" s="7"/>
      <c r="BZ68" s="7"/>
      <c r="CA68" s="7"/>
      <c r="CB68" s="7"/>
      <c r="CC68" s="319" t="e">
        <f>SUM(Tabla1[AÑO 1 4])</f>
        <v>#N/A</v>
      </c>
      <c r="CD68" s="319" t="e">
        <f>SUM(Tabla1[AÑO 2 4])</f>
        <v>#N/A</v>
      </c>
      <c r="CE68" s="319" t="e">
        <f>SUM(Tabla1[AÑO 3 4])</f>
        <v>#N/A</v>
      </c>
      <c r="CF68" s="319" t="e">
        <f>SUM(Tabla1[AÑO 4 4])</f>
        <v>#N/A</v>
      </c>
      <c r="CG68" s="319" t="e">
        <f>SUM(Tabla1[AÑO 5 4])</f>
        <v>#N/A</v>
      </c>
      <c r="CH68" s="7"/>
      <c r="CI68" s="7"/>
      <c r="CJ68" s="7"/>
      <c r="CK68" s="7"/>
      <c r="CL68" s="7"/>
      <c r="CM68" s="7"/>
      <c r="CN68" s="7"/>
      <c r="CO68" s="7"/>
      <c r="CP68" s="7"/>
      <c r="CQ68" s="7"/>
      <c r="CR68" s="7"/>
      <c r="CS68" s="7"/>
      <c r="CT68" s="7"/>
      <c r="CU68" s="7"/>
      <c r="CV68" s="7"/>
      <c r="CW68" s="319" t="e">
        <f>SUM(Tabla1[AÑO 1 5])</f>
        <v>#N/A</v>
      </c>
      <c r="CX68" s="319" t="e">
        <f>SUM(Tabla1[AÑO 2 5])</f>
        <v>#N/A</v>
      </c>
      <c r="CY68" s="319" t="e">
        <f>SUM(Tabla1[[AÑO 3 5 ]])</f>
        <v>#N/A</v>
      </c>
      <c r="CZ68" s="319" t="e">
        <f>SUM(Tabla1[AÑO 4 5])</f>
        <v>#N/A</v>
      </c>
      <c r="DA68" s="319" t="e">
        <f>SUM(Tabla1[AÑO 5 5])</f>
        <v>#N/A</v>
      </c>
      <c r="DB68" s="7"/>
      <c r="DC68" s="7"/>
      <c r="DD68" s="7"/>
      <c r="DE68" s="7"/>
      <c r="DF68" s="7"/>
      <c r="DG68" s="7"/>
      <c r="DH68" s="7"/>
      <c r="DI68" s="7"/>
      <c r="DJ68" s="7"/>
      <c r="DK68" s="7"/>
      <c r="DL68" s="7"/>
      <c r="DM68" s="7"/>
      <c r="DN68" s="7"/>
      <c r="DO68" s="7"/>
      <c r="DP68" s="7"/>
      <c r="DQ68" s="319" t="e">
        <f>SUM(Tabla1[AÑO 1 6])</f>
        <v>#N/A</v>
      </c>
      <c r="DR68" s="319" t="e">
        <f>SUM(Tabla1[AÑO 2 6])</f>
        <v>#N/A</v>
      </c>
      <c r="DS68" s="319" t="e">
        <f>SUM(Tabla1[AÑO 3 6])</f>
        <v>#N/A</v>
      </c>
      <c r="DT68" s="319" t="e">
        <f>SUM(Tabla1[AÑO 4 6])</f>
        <v>#N/A</v>
      </c>
      <c r="DU68" s="319" t="e">
        <f>SUM(Tabla1[AÑO 5 6])</f>
        <v>#N/A</v>
      </c>
      <c r="DV68" s="7"/>
      <c r="DW68" s="7"/>
      <c r="DX68" s="7"/>
      <c r="DY68" s="7"/>
      <c r="DZ68" s="7"/>
      <c r="EA68" s="7"/>
      <c r="EB68" s="7"/>
      <c r="EC68" s="7"/>
      <c r="ED68" s="7"/>
      <c r="EE68" s="7"/>
      <c r="EF68" s="7"/>
      <c r="EG68" s="7"/>
      <c r="EH68" s="7"/>
      <c r="EI68" s="7"/>
      <c r="EJ68" s="7"/>
      <c r="EK68" s="319" t="e">
        <f>SUM(Tabla1[AÑO 1 7])</f>
        <v>#N/A</v>
      </c>
      <c r="EL68" s="319" t="e">
        <f>SUM(Tabla1[AÑO 2 7])</f>
        <v>#N/A</v>
      </c>
      <c r="EM68" s="319" t="e">
        <f>SUM(Tabla1[AÑO 3 7])</f>
        <v>#N/A</v>
      </c>
      <c r="EN68" s="319" t="e">
        <f>SUM(Tabla1[[AÑO 4 7 ]])</f>
        <v>#N/A</v>
      </c>
      <c r="EO68" s="319" t="e">
        <f>SUM(Tabla1[AÑO 5 7])</f>
        <v>#N/A</v>
      </c>
      <c r="EP68" s="7"/>
      <c r="EQ68" s="7"/>
      <c r="ER68" s="7"/>
      <c r="ES68" s="7"/>
      <c r="ET68" s="7"/>
      <c r="EU68" s="7"/>
      <c r="EV68" s="7"/>
      <c r="EW68" s="7"/>
      <c r="EX68" s="7"/>
      <c r="EY68" s="7"/>
      <c r="EZ68" s="7"/>
      <c r="FA68" s="7"/>
      <c r="FB68" s="7"/>
      <c r="FC68" s="7"/>
      <c r="FD68" s="7"/>
      <c r="FE68" s="319" t="e">
        <f>SUM(Tabla1[AÑO 1 8])</f>
        <v>#N/A</v>
      </c>
      <c r="FF68" s="319" t="e">
        <f>SUM(Tabla1[AÑO 2 8])</f>
        <v>#N/A</v>
      </c>
      <c r="FG68" s="319" t="e">
        <f>SUM(Tabla1[AÑO 3 8])</f>
        <v>#N/A</v>
      </c>
      <c r="FH68" s="319" t="e">
        <f>SUM(Tabla1[AÑO 4 8])</f>
        <v>#N/A</v>
      </c>
      <c r="FI68" s="319" t="e">
        <f>SUM(Tabla1[AÑO 5 8])</f>
        <v>#N/A</v>
      </c>
      <c r="FJ68" s="7"/>
      <c r="FK68" s="7"/>
      <c r="FL68" s="7"/>
      <c r="FM68" s="7"/>
      <c r="FN68" s="7"/>
      <c r="FO68" s="7"/>
      <c r="FP68" s="7"/>
      <c r="FQ68" s="7"/>
      <c r="FR68" s="7"/>
      <c r="FS68" s="7"/>
      <c r="FT68" s="7"/>
      <c r="FU68" s="7"/>
      <c r="FV68" s="7"/>
      <c r="FW68" s="7"/>
      <c r="FX68" s="7"/>
      <c r="FY68" s="319" t="e">
        <f>SUM(Tabla1[AÑO 1 9])</f>
        <v>#N/A</v>
      </c>
      <c r="FZ68" s="319" t="e">
        <f>SUM(Tabla1[[AÑO 2 9 ]])</f>
        <v>#N/A</v>
      </c>
      <c r="GA68" s="319" t="e">
        <f>SUM(Tabla1[AÑO 3 9])</f>
        <v>#N/A</v>
      </c>
      <c r="GB68" s="319" t="e">
        <f>SUM(Tabla1[[AÑO 4 9 ]])</f>
        <v>#N/A</v>
      </c>
      <c r="GC68" s="319" t="e">
        <f>SUM(Tabla1[[AÑO 5 9 ]])</f>
        <v>#N/A</v>
      </c>
      <c r="GD68" s="7"/>
      <c r="GE68" s="7"/>
      <c r="GF68" s="7"/>
      <c r="GG68" s="7"/>
      <c r="GH68" s="7"/>
      <c r="GI68" s="7"/>
      <c r="GJ68" s="7"/>
      <c r="GK68" s="7"/>
      <c r="GL68" s="7"/>
      <c r="GM68" s="7"/>
      <c r="GN68" s="7"/>
      <c r="GO68" s="7"/>
      <c r="GP68" s="7"/>
      <c r="GQ68" s="7"/>
      <c r="GR68" s="7"/>
      <c r="GS68" s="319" t="e">
        <f>SUM(Tabla1[[AÑO 1 10 ]])</f>
        <v>#N/A</v>
      </c>
      <c r="GT68" s="319" t="e">
        <f>SUM(Tabla1[[AÑO 2 10 ]])</f>
        <v>#N/A</v>
      </c>
      <c r="GU68" s="319" t="e">
        <f>SUM(Tabla1[[AÑO 3 10 ]])</f>
        <v>#N/A</v>
      </c>
      <c r="GV68" s="319" t="e">
        <f>SUM(Tabla1[[AÑO 4 10 ]])</f>
        <v>#N/A</v>
      </c>
      <c r="GW68" s="319" t="e">
        <f>SUM(Tabla1[[AÑO 5 10 ]])</f>
        <v>#N/A</v>
      </c>
      <c r="GX68" s="7"/>
      <c r="GY68" s="7"/>
      <c r="GZ68" s="7"/>
      <c r="HA68" s="7"/>
      <c r="HB68" s="7"/>
      <c r="HC68" s="7"/>
      <c r="HD68" s="7"/>
      <c r="HE68" s="7"/>
      <c r="HF68" s="7"/>
      <c r="HG68" s="7"/>
      <c r="HH68" s="7"/>
      <c r="HI68" s="7"/>
      <c r="HJ68" s="7"/>
      <c r="HK68" s="7"/>
      <c r="HL68" s="7"/>
      <c r="HM68" s="319" t="e">
        <f>SUM(Tabla1[[AÑO 1 11 ]])</f>
        <v>#N/A</v>
      </c>
      <c r="HN68" s="319" t="e">
        <f>SUM(Tabla1[[AÑO 2 11 ]])</f>
        <v>#N/A</v>
      </c>
      <c r="HO68" s="319" t="e">
        <f>SUM(Tabla1[AÑO 3 11])</f>
        <v>#N/A</v>
      </c>
      <c r="HP68" s="319" t="e">
        <f>SUM(Tabla1[[AÑO 4 11 ]])</f>
        <v>#N/A</v>
      </c>
      <c r="HQ68" s="319" t="e">
        <f>SUM(Tabla1[[AÑO 5 11 ]])</f>
        <v>#N/A</v>
      </c>
      <c r="HR68" s="7"/>
      <c r="HS68" s="7"/>
      <c r="HT68" s="7"/>
      <c r="HU68" s="7"/>
      <c r="HV68" s="7"/>
      <c r="HW68" s="7"/>
      <c r="HX68" s="7"/>
      <c r="HY68" s="7"/>
      <c r="HZ68" s="7"/>
      <c r="IA68" s="7"/>
      <c r="IB68" s="7"/>
      <c r="IC68" s="7"/>
      <c r="ID68" s="7"/>
      <c r="IE68" s="7"/>
      <c r="IF68" s="7"/>
      <c r="IG68" s="319" t="e">
        <f>SUM(Tabla1[AÑO 1 12])</f>
        <v>#N/A</v>
      </c>
      <c r="IH68" s="319" t="e">
        <f>SUM(Tabla1[AÑO 2 12])</f>
        <v>#N/A</v>
      </c>
      <c r="II68" s="319" t="e">
        <f>SUM(Tabla1[AÑO 3 12])</f>
        <v>#N/A</v>
      </c>
      <c r="IJ68" s="319" t="e">
        <f>SUM(Tabla1[AÑO 4 12])</f>
        <v>#N/A</v>
      </c>
      <c r="IK68" s="319" t="e">
        <f>SUM(Tabla1[AÑO 5 12])</f>
        <v>#N/A</v>
      </c>
      <c r="IL68" s="7"/>
      <c r="IM68" s="7"/>
      <c r="IN68" s="7"/>
      <c r="IO68" s="7"/>
      <c r="IP68" s="7"/>
      <c r="IQ68" s="7"/>
      <c r="IR68" s="7"/>
      <c r="IS68" s="7"/>
      <c r="IT68" s="7"/>
      <c r="IU68" s="7"/>
      <c r="IV68" s="7"/>
      <c r="IW68" s="7"/>
      <c r="IX68" s="7"/>
      <c r="IY68" s="7"/>
      <c r="IZ68" s="7"/>
      <c r="JA68" s="319" t="e">
        <f>SUM(Tabla1[AÑO 1 13])</f>
        <v>#N/A</v>
      </c>
      <c r="JB68" s="319" t="e">
        <f>SUM(Tabla1[AÑO 2 13])</f>
        <v>#N/A</v>
      </c>
      <c r="JC68" s="319" t="e">
        <f>SUM(Tabla1[AÑO 3 13])</f>
        <v>#N/A</v>
      </c>
      <c r="JD68" s="319" t="e">
        <f>SUM(Tabla1[AÑO 4 13])</f>
        <v>#N/A</v>
      </c>
      <c r="JE68" s="319" t="e">
        <f>SUM(Tabla1[AÑO 5 13])</f>
        <v>#N/A</v>
      </c>
      <c r="JF68" s="7"/>
      <c r="JG68" s="7"/>
      <c r="JH68" s="7"/>
      <c r="JI68" s="7"/>
      <c r="JJ68" s="7"/>
      <c r="JK68" s="7"/>
      <c r="JL68" s="7"/>
      <c r="JM68" s="7"/>
      <c r="JN68" s="7"/>
      <c r="JO68" s="7"/>
      <c r="JP68" s="7"/>
      <c r="JQ68" s="7"/>
      <c r="JR68" s="7"/>
      <c r="JS68" s="7"/>
      <c r="JT68" s="7"/>
      <c r="JU68" s="319" t="e">
        <f>SUM(Tabla1[AÑO 1 14])</f>
        <v>#N/A</v>
      </c>
      <c r="JV68" s="319" t="e">
        <f>SUM(Tabla1[AÑO 2 14])</f>
        <v>#N/A</v>
      </c>
      <c r="JW68" s="319" t="e">
        <f>SUM(Tabla1[AÑO 3 14])</f>
        <v>#N/A</v>
      </c>
      <c r="JX68" s="319" t="e">
        <f>SUM(Tabla1[AÑO 4 14])</f>
        <v>#N/A</v>
      </c>
      <c r="JY68" s="319" t="e">
        <f>SUM(Tabla1[AÑO 5 14])</f>
        <v>#N/A</v>
      </c>
      <c r="JZ68" s="7"/>
      <c r="KA68" s="7"/>
      <c r="KB68" s="7"/>
      <c r="KC68" s="7"/>
      <c r="KD68" s="7"/>
      <c r="KE68" s="7"/>
      <c r="KF68" s="7"/>
      <c r="KG68" s="7"/>
      <c r="KH68" s="7"/>
      <c r="KI68" s="7"/>
      <c r="KJ68" s="7"/>
      <c r="KK68" s="7"/>
      <c r="KL68" s="7"/>
      <c r="KM68" s="7"/>
      <c r="KN68" s="7"/>
      <c r="KO68" s="319" t="e">
        <f>SUM(Tabla1[AÑO 1 15])</f>
        <v>#N/A</v>
      </c>
      <c r="KP68" s="319" t="e">
        <f>SUM(Tabla1[AÑO 2 15])</f>
        <v>#N/A</v>
      </c>
      <c r="KQ68" s="319" t="e">
        <f>SUM(Tabla1[AÑO 3 15])</f>
        <v>#N/A</v>
      </c>
      <c r="KR68" s="319" t="e">
        <f>SUM(Tabla1[AÑO 4 15])</f>
        <v>#N/A</v>
      </c>
      <c r="KS68" s="319" t="e">
        <f>SUM(Tabla1[AÑO 5 15])</f>
        <v>#N/A</v>
      </c>
      <c r="KT68" s="7"/>
      <c r="KU68" s="7"/>
      <c r="KV68" s="7"/>
      <c r="KW68" s="7"/>
      <c r="KX68" s="7"/>
      <c r="KY68" s="7"/>
      <c r="KZ68" s="7"/>
      <c r="LA68" s="7"/>
      <c r="LB68" s="7"/>
      <c r="LC68" s="7"/>
      <c r="LD68" s="7"/>
      <c r="LE68" s="7"/>
      <c r="LF68" s="7"/>
      <c r="LG68" s="7"/>
      <c r="LH68" s="7"/>
      <c r="LI68" s="319" t="e">
        <f>SUM(Tabla1[AÑO 1 16])</f>
        <v>#N/A</v>
      </c>
      <c r="LJ68" s="319" t="e">
        <f>SUM(Tabla1[AÑO 2 16])</f>
        <v>#N/A</v>
      </c>
      <c r="LK68" s="319" t="e">
        <f>SUM(Tabla1[AÑO 3 16])</f>
        <v>#N/A</v>
      </c>
      <c r="LL68" s="319" t="e">
        <f>SUM(Tabla1[AÑO 4 16])</f>
        <v>#N/A</v>
      </c>
      <c r="LM68" s="319" t="e">
        <f>SUM(Tabla1[AÑO 5 16])</f>
        <v>#N/A</v>
      </c>
      <c r="LN68" s="7"/>
      <c r="LO68" s="7"/>
      <c r="LP68" s="7"/>
      <c r="LQ68" s="7"/>
      <c r="LR68" s="7"/>
      <c r="LS68" s="7"/>
      <c r="LT68" s="7"/>
      <c r="LU68" s="7"/>
      <c r="LV68" s="7"/>
      <c r="LW68" s="7"/>
      <c r="LX68" s="7"/>
      <c r="LY68" s="7"/>
      <c r="LZ68" s="7"/>
      <c r="MA68" s="7"/>
      <c r="MB68" s="7"/>
      <c r="MC68" s="319" t="e">
        <f>SUM(Tabla1[AÑO 1 17])</f>
        <v>#N/A</v>
      </c>
      <c r="MD68" s="319" t="e">
        <f>SUM(Tabla1[AÑO 2 17])</f>
        <v>#N/A</v>
      </c>
      <c r="ME68" s="319" t="e">
        <f>SUM(Tabla1[AÑO 3 17])</f>
        <v>#N/A</v>
      </c>
      <c r="MF68" s="319" t="e">
        <f>SUM(Tabla1[AÑO 4 17])</f>
        <v>#N/A</v>
      </c>
      <c r="MG68" s="319" t="e">
        <f>SUM(Tabla1[AÑO 5 17])</f>
        <v>#N/A</v>
      </c>
      <c r="MH68" s="7"/>
      <c r="MI68" s="7"/>
      <c r="MJ68" s="7"/>
      <c r="MK68" s="7"/>
      <c r="ML68" s="7"/>
      <c r="MM68" s="7"/>
      <c r="MN68" s="7"/>
      <c r="MO68" s="7"/>
      <c r="MP68" s="7"/>
      <c r="MQ68" s="7"/>
      <c r="MR68" s="7"/>
      <c r="MS68" s="7"/>
      <c r="MT68" s="7"/>
      <c r="MU68" s="7"/>
      <c r="MV68" s="7"/>
      <c r="MW68" s="319" t="e">
        <f>SUM(Tabla1[[AÑO 1 18 ]])</f>
        <v>#N/A</v>
      </c>
      <c r="MX68" s="319" t="e">
        <f>SUM(Tabla1[[AÑO 2 18 ]])</f>
        <v>#N/A</v>
      </c>
      <c r="MY68" s="319" t="e">
        <f>SUM(Tabla1[[AÑO 3 18 ]])</f>
        <v>#N/A</v>
      </c>
      <c r="MZ68" s="319" t="e">
        <f>SUM(Tabla1[[AÑO 4 18 ]])</f>
        <v>#N/A</v>
      </c>
      <c r="NA68" s="319" t="e">
        <f>SUM(Tabla1[[AÑO 5 18 ]])</f>
        <v>#N/A</v>
      </c>
      <c r="NQ68" s="317" t="e">
        <f>SUM(Tabla1[[AÑO 1 19 ]])</f>
        <v>#N/A</v>
      </c>
      <c r="NR68" s="317" t="e">
        <f>SUM(Tabla1[[AÑO 2 19 ]])</f>
        <v>#N/A</v>
      </c>
      <c r="NS68" s="317" t="e">
        <f>SUM(Tabla1[[AÑO 3 19 ]])</f>
        <v>#N/A</v>
      </c>
      <c r="NT68" s="317" t="e">
        <f>SUM(Tabla1[[AÑO 4 19 ]])</f>
        <v>#N/A</v>
      </c>
      <c r="NU68" s="317" t="e">
        <f>SUM(Tabla1[[AÑO 5 19 ]])</f>
        <v>#N/A</v>
      </c>
      <c r="OK68" s="317" t="e">
        <f>SUM(Tabla1[[AÑO 1 20 ]])</f>
        <v>#N/A</v>
      </c>
      <c r="OL68" s="317" t="e">
        <f>SUM(Tabla1[[AÑO 2 20 ]])</f>
        <v>#N/A</v>
      </c>
      <c r="OM68" s="317" t="e">
        <f>SUM(Tabla1[[AÑO 3 20 ]])</f>
        <v>#N/A</v>
      </c>
      <c r="ON68" s="317" t="e">
        <f>SUM(Tabla1[[AÑO 4 20 ]])</f>
        <v>#N/A</v>
      </c>
      <c r="OO68" s="317" t="e">
        <f>SUM(Tabla1[[AÑO 5 20 ]])</f>
        <v>#N/A</v>
      </c>
    </row>
    <row r="69" spans="1:405" x14ac:dyDescent="0.25">
      <c r="C69" s="282"/>
      <c r="D69" s="282"/>
    </row>
    <row r="70" spans="1:405" x14ac:dyDescent="0.25">
      <c r="C70" s="282"/>
      <c r="D70" s="282"/>
    </row>
    <row r="71" spans="1:405" x14ac:dyDescent="0.25">
      <c r="C71" s="282"/>
      <c r="D71" s="282"/>
    </row>
    <row r="72" spans="1:405" x14ac:dyDescent="0.25">
      <c r="C72" s="282"/>
      <c r="D72" s="282"/>
    </row>
    <row r="73" spans="1:405" ht="15.75" x14ac:dyDescent="0.25">
      <c r="B73" s="10" t="s">
        <v>523</v>
      </c>
      <c r="C73" s="307" t="s">
        <v>110</v>
      </c>
      <c r="D73" s="282"/>
    </row>
    <row r="74" spans="1:405" ht="15.75" x14ac:dyDescent="0.25">
      <c r="B74" s="284"/>
      <c r="C74" s="304"/>
      <c r="D74" s="282"/>
    </row>
    <row r="75" spans="1:405" ht="15.75" x14ac:dyDescent="0.25">
      <c r="B75" s="287"/>
      <c r="C75" s="305"/>
      <c r="D75" s="282"/>
    </row>
    <row r="76" spans="1:405" ht="15.75" x14ac:dyDescent="0.25">
      <c r="B76" s="287"/>
      <c r="C76" s="305"/>
      <c r="D76" s="282"/>
    </row>
    <row r="77" spans="1:405" ht="15.75" x14ac:dyDescent="0.25">
      <c r="B77" s="287"/>
      <c r="C77" s="305"/>
      <c r="D77" s="282"/>
    </row>
    <row r="78" spans="1:405" ht="15.75" x14ac:dyDescent="0.25">
      <c r="B78" s="287"/>
      <c r="C78" s="305"/>
      <c r="D78" s="282"/>
    </row>
    <row r="79" spans="1:405" ht="15.75" x14ac:dyDescent="0.25">
      <c r="B79" s="287"/>
      <c r="C79" s="305"/>
      <c r="D79" s="282"/>
    </row>
    <row r="80" spans="1:405" ht="15.75" x14ac:dyDescent="0.25">
      <c r="B80" s="287"/>
      <c r="C80" s="305"/>
      <c r="D80" s="282"/>
    </row>
    <row r="81" spans="2:29" ht="15.75" x14ac:dyDescent="0.25">
      <c r="B81" s="287"/>
      <c r="C81" s="305"/>
      <c r="D81" s="282"/>
    </row>
    <row r="82" spans="2:29" ht="15.75" x14ac:dyDescent="0.25">
      <c r="B82" s="287"/>
      <c r="C82" s="305"/>
      <c r="D82" s="282"/>
    </row>
    <row r="83" spans="2:29" ht="15.75" x14ac:dyDescent="0.25">
      <c r="B83" s="289"/>
      <c r="C83" s="306"/>
      <c r="D83" s="282"/>
    </row>
    <row r="84" spans="2:29" x14ac:dyDescent="0.25">
      <c r="C84" s="282"/>
      <c r="D84" s="282"/>
    </row>
    <row r="85" spans="2:29" x14ac:dyDescent="0.25">
      <c r="C85" s="282"/>
      <c r="D85" s="282"/>
    </row>
    <row r="86" spans="2:29" x14ac:dyDescent="0.25">
      <c r="C86" s="282"/>
      <c r="D86" s="282"/>
    </row>
    <row r="87" spans="2:29" x14ac:dyDescent="0.25">
      <c r="C87" s="282"/>
      <c r="D87" s="282"/>
    </row>
    <row r="88" spans="2:29" x14ac:dyDescent="0.25">
      <c r="C88" s="282"/>
      <c r="D88" s="282"/>
    </row>
    <row r="89" spans="2:29" ht="15.75" x14ac:dyDescent="0.25">
      <c r="C89" s="282"/>
      <c r="D89" s="282"/>
      <c r="F89" s="611" t="s">
        <v>524</v>
      </c>
      <c r="G89" s="612"/>
      <c r="H89" s="612"/>
      <c r="I89" s="612"/>
      <c r="J89" s="612"/>
      <c r="K89" s="612"/>
      <c r="L89" s="612"/>
      <c r="M89" s="612"/>
      <c r="N89" s="612"/>
      <c r="O89" s="613"/>
      <c r="P89"/>
      <c r="Q89"/>
      <c r="R89"/>
      <c r="S89"/>
      <c r="T89"/>
      <c r="U89"/>
      <c r="V89"/>
      <c r="W89"/>
      <c r="X89"/>
      <c r="Y89"/>
      <c r="Z89"/>
      <c r="AA89"/>
      <c r="AB89"/>
      <c r="AC89"/>
    </row>
    <row r="90" spans="2:29" ht="15.75" x14ac:dyDescent="0.25">
      <c r="C90" s="307" t="s">
        <v>112</v>
      </c>
      <c r="D90" s="307" t="s">
        <v>113</v>
      </c>
      <c r="E90" s="39"/>
      <c r="F90" s="313" cm="1">
        <f t="array" ref="F90:O90">TRANSPOSE(Tabla4[[MANO DE OBRA DIRECTA ]])</f>
        <v>0</v>
      </c>
      <c r="G90" s="313">
        <v>0</v>
      </c>
      <c r="H90" s="313">
        <v>0</v>
      </c>
      <c r="I90" s="313">
        <v>0</v>
      </c>
      <c r="J90" s="313">
        <v>0</v>
      </c>
      <c r="K90" s="313">
        <v>0</v>
      </c>
      <c r="L90" s="313">
        <v>0</v>
      </c>
      <c r="M90" s="313">
        <v>0</v>
      </c>
      <c r="N90" s="313">
        <v>0</v>
      </c>
      <c r="O90" s="313">
        <v>0</v>
      </c>
      <c r="P90"/>
      <c r="Q90"/>
      <c r="R90"/>
      <c r="S90"/>
      <c r="T90"/>
      <c r="U90"/>
      <c r="V90"/>
      <c r="W90"/>
      <c r="X90"/>
      <c r="Y90"/>
      <c r="Z90"/>
      <c r="AA90"/>
      <c r="AB90"/>
      <c r="AC90"/>
    </row>
    <row r="91" spans="2:29" ht="15.75" x14ac:dyDescent="0.25">
      <c r="B91" s="495"/>
      <c r="C91" s="511"/>
      <c r="D91" s="511" t="e">
        <f>VLOOKUP(Tabla10[[#This Row],[CÓDIGO DEL PRODUCTO Y/O SERVICIO ]],Tabla3[],2,0)</f>
        <v>#N/A</v>
      </c>
      <c r="E91" s="499"/>
      <c r="F91" s="501"/>
      <c r="G91" s="51"/>
      <c r="H91" s="51"/>
      <c r="I91" s="51"/>
      <c r="J91" s="51"/>
      <c r="K91" s="51"/>
      <c r="L91" s="51"/>
      <c r="M91" s="51"/>
      <c r="N91" s="51"/>
      <c r="O91" s="51"/>
      <c r="P91"/>
      <c r="Q91"/>
      <c r="R91"/>
      <c r="S91"/>
      <c r="T91"/>
      <c r="U91"/>
      <c r="V91"/>
      <c r="W91"/>
      <c r="X91"/>
      <c r="Y91"/>
      <c r="Z91"/>
      <c r="AA91"/>
      <c r="AB91"/>
      <c r="AC91"/>
    </row>
    <row r="92" spans="2:29" x14ac:dyDescent="0.25">
      <c r="C92" s="282"/>
      <c r="D92" s="282"/>
    </row>
    <row r="93" spans="2:29" x14ac:dyDescent="0.25">
      <c r="C93" s="282"/>
      <c r="D93" s="282"/>
    </row>
    <row r="94" spans="2:29" x14ac:dyDescent="0.25">
      <c r="C94" s="282"/>
      <c r="D94" s="282"/>
    </row>
    <row r="95" spans="2:29" x14ac:dyDescent="0.25">
      <c r="C95" s="282"/>
      <c r="D95" s="282"/>
    </row>
    <row r="96" spans="2:29" x14ac:dyDescent="0.25">
      <c r="C96" s="282"/>
      <c r="D96" s="282"/>
    </row>
    <row r="97" spans="3:210" x14ac:dyDescent="0.25">
      <c r="C97" s="282"/>
      <c r="D97" s="282"/>
    </row>
    <row r="98" spans="3:210" x14ac:dyDescent="0.25">
      <c r="C98" s="282"/>
      <c r="D98" s="282"/>
    </row>
    <row r="99" spans="3:210" x14ac:dyDescent="0.25">
      <c r="C99" s="282"/>
      <c r="D99" s="282"/>
    </row>
    <row r="100" spans="3:210" x14ac:dyDescent="0.25">
      <c r="C100" s="282"/>
      <c r="D100" s="282"/>
    </row>
    <row r="101" spans="3:210" x14ac:dyDescent="0.25">
      <c r="C101" s="282"/>
      <c r="D101" s="282"/>
    </row>
    <row r="102" spans="3:210" ht="15.75" customHeight="1" x14ac:dyDescent="0.25"/>
    <row r="103" spans="3:210" ht="15.75" customHeight="1" thickBot="1" x14ac:dyDescent="0.3"/>
    <row r="104" spans="3:210" ht="16.5" thickBot="1" x14ac:dyDescent="0.3">
      <c r="F104" s="565">
        <f>B74</f>
        <v>0</v>
      </c>
      <c r="G104" s="566"/>
      <c r="H104" s="566"/>
      <c r="I104" s="566"/>
      <c r="J104" s="566"/>
      <c r="K104" s="566"/>
      <c r="L104" s="566"/>
      <c r="M104" s="566"/>
      <c r="N104" s="566"/>
      <c r="O104" s="566"/>
      <c r="P104" s="566"/>
      <c r="Q104" s="566"/>
      <c r="R104" s="566"/>
      <c r="S104" s="566"/>
      <c r="T104" s="566"/>
      <c r="U104" s="566"/>
      <c r="V104" s="566"/>
      <c r="W104" s="566"/>
      <c r="X104" s="566"/>
      <c r="Y104" s="567"/>
      <c r="Z104" s="569">
        <f>B75</f>
        <v>0</v>
      </c>
      <c r="AA104" s="570"/>
      <c r="AB104" s="570"/>
      <c r="AC104" s="570"/>
      <c r="AD104" s="570"/>
      <c r="AE104" s="570"/>
      <c r="AF104" s="570"/>
      <c r="AG104" s="570"/>
      <c r="AH104" s="570"/>
      <c r="AI104" s="570"/>
      <c r="AJ104" s="570"/>
      <c r="AK104" s="570"/>
      <c r="AL104" s="570"/>
      <c r="AM104" s="570"/>
      <c r="AN104" s="570"/>
      <c r="AO104" s="570"/>
      <c r="AP104" s="570"/>
      <c r="AQ104" s="570"/>
      <c r="AR104" s="570"/>
      <c r="AS104" s="571"/>
      <c r="AT104" s="565">
        <f>B76</f>
        <v>0</v>
      </c>
      <c r="AU104" s="566"/>
      <c r="AV104" s="566"/>
      <c r="AW104" s="566"/>
      <c r="AX104" s="566"/>
      <c r="AY104" s="566"/>
      <c r="AZ104" s="566"/>
      <c r="BA104" s="566"/>
      <c r="BB104" s="566"/>
      <c r="BC104" s="566"/>
      <c r="BD104" s="566"/>
      <c r="BE104" s="566"/>
      <c r="BF104" s="566"/>
      <c r="BG104" s="566"/>
      <c r="BH104" s="566"/>
      <c r="BI104" s="566"/>
      <c r="BJ104" s="566"/>
      <c r="BK104" s="566"/>
      <c r="BL104" s="566"/>
      <c r="BM104" s="567"/>
      <c r="BN104" s="594">
        <f>B77</f>
        <v>0</v>
      </c>
      <c r="BO104" s="595"/>
      <c r="BP104" s="595"/>
      <c r="BQ104" s="595"/>
      <c r="BR104" s="595"/>
      <c r="BS104" s="595"/>
      <c r="BT104" s="595"/>
      <c r="BU104" s="595"/>
      <c r="BV104" s="595"/>
      <c r="BW104" s="595"/>
      <c r="BX104" s="595"/>
      <c r="BY104" s="595"/>
      <c r="BZ104" s="595"/>
      <c r="CA104" s="595"/>
      <c r="CB104" s="595"/>
      <c r="CC104" s="595"/>
      <c r="CD104" s="595"/>
      <c r="CE104" s="595"/>
      <c r="CF104" s="595"/>
      <c r="CG104" s="596"/>
      <c r="CH104" s="602">
        <f>B78</f>
        <v>0</v>
      </c>
      <c r="CI104" s="603"/>
      <c r="CJ104" s="603"/>
      <c r="CK104" s="603"/>
      <c r="CL104" s="603"/>
      <c r="CM104" s="603"/>
      <c r="CN104" s="603"/>
      <c r="CO104" s="603"/>
      <c r="CP104" s="603"/>
      <c r="CQ104" s="603"/>
      <c r="CR104" s="603"/>
      <c r="CS104" s="603"/>
      <c r="CT104" s="603"/>
      <c r="CU104" s="603"/>
      <c r="CV104" s="603"/>
      <c r="CW104" s="603"/>
      <c r="CX104" s="603"/>
      <c r="CY104" s="603"/>
      <c r="CZ104" s="603"/>
      <c r="DA104" s="604"/>
      <c r="DB104" s="639">
        <f>B79</f>
        <v>0</v>
      </c>
      <c r="DC104" s="640"/>
      <c r="DD104" s="640"/>
      <c r="DE104" s="640"/>
      <c r="DF104" s="640"/>
      <c r="DG104" s="640"/>
      <c r="DH104" s="640"/>
      <c r="DI104" s="640"/>
      <c r="DJ104" s="640"/>
      <c r="DK104" s="640"/>
      <c r="DL104" s="640"/>
      <c r="DM104" s="640"/>
      <c r="DN104" s="640"/>
      <c r="DO104" s="640"/>
      <c r="DP104" s="640"/>
      <c r="DQ104" s="640"/>
      <c r="DR104" s="640"/>
      <c r="DS104" s="640"/>
      <c r="DT104" s="640"/>
      <c r="DU104" s="641"/>
      <c r="DV104" s="602">
        <f>B80</f>
        <v>0</v>
      </c>
      <c r="DW104" s="603"/>
      <c r="DX104" s="603"/>
      <c r="DY104" s="603"/>
      <c r="DZ104" s="603"/>
      <c r="EA104" s="603"/>
      <c r="EB104" s="603"/>
      <c r="EC104" s="603"/>
      <c r="ED104" s="603"/>
      <c r="EE104" s="603"/>
      <c r="EF104" s="603"/>
      <c r="EG104" s="603"/>
      <c r="EH104" s="603"/>
      <c r="EI104" s="603"/>
      <c r="EJ104" s="603"/>
      <c r="EK104" s="603"/>
      <c r="EL104" s="603"/>
      <c r="EM104" s="603"/>
      <c r="EN104" s="603"/>
      <c r="EO104" s="604"/>
      <c r="EP104" s="636">
        <f>B81</f>
        <v>0</v>
      </c>
      <c r="EQ104" s="637"/>
      <c r="ER104" s="637"/>
      <c r="ES104" s="637"/>
      <c r="ET104" s="637"/>
      <c r="EU104" s="637"/>
      <c r="EV104" s="637"/>
      <c r="EW104" s="637"/>
      <c r="EX104" s="637"/>
      <c r="EY104" s="637"/>
      <c r="EZ104" s="637"/>
      <c r="FA104" s="637"/>
      <c r="FB104" s="637"/>
      <c r="FC104" s="637"/>
      <c r="FD104" s="637"/>
      <c r="FE104" s="637"/>
      <c r="FF104" s="637"/>
      <c r="FG104" s="637"/>
      <c r="FH104" s="637"/>
      <c r="FI104" s="638"/>
      <c r="FJ104" s="565">
        <f>B82</f>
        <v>0</v>
      </c>
      <c r="FK104" s="566"/>
      <c r="FL104" s="566"/>
      <c r="FM104" s="566"/>
      <c r="FN104" s="566"/>
      <c r="FO104" s="566"/>
      <c r="FP104" s="566"/>
      <c r="FQ104" s="566"/>
      <c r="FR104" s="566"/>
      <c r="FS104" s="566"/>
      <c r="FT104" s="566"/>
      <c r="FU104" s="566"/>
      <c r="FV104" s="566"/>
      <c r="FW104" s="566"/>
      <c r="FX104" s="566"/>
      <c r="FY104" s="566"/>
      <c r="FZ104" s="566"/>
      <c r="GA104" s="566"/>
      <c r="GB104" s="566"/>
      <c r="GC104" s="567"/>
      <c r="GD104" s="636">
        <f>B83</f>
        <v>0</v>
      </c>
      <c r="GE104" s="637"/>
      <c r="GF104" s="637"/>
      <c r="GG104" s="637"/>
      <c r="GH104" s="637"/>
      <c r="GI104" s="637"/>
      <c r="GJ104" s="637"/>
      <c r="GK104" s="637"/>
      <c r="GL104" s="637"/>
      <c r="GM104" s="637"/>
      <c r="GN104" s="637"/>
      <c r="GO104" s="637"/>
      <c r="GP104" s="637"/>
      <c r="GQ104" s="637"/>
      <c r="GR104" s="637"/>
      <c r="GS104" s="637"/>
      <c r="GT104" s="637"/>
      <c r="GU104" s="637"/>
      <c r="GV104" s="637"/>
      <c r="GW104" s="637"/>
      <c r="GX104" s="642" t="s">
        <v>114</v>
      </c>
      <c r="GY104" s="642"/>
      <c r="GZ104" s="642"/>
      <c r="HA104" s="642"/>
      <c r="HB104" s="642"/>
    </row>
    <row r="105" spans="3:210" ht="15.75" x14ac:dyDescent="0.25">
      <c r="F105" s="308"/>
      <c r="G105" s="308"/>
      <c r="H105" s="308"/>
      <c r="I105" s="308"/>
      <c r="J105" s="308"/>
      <c r="K105" s="308"/>
      <c r="L105" s="308"/>
      <c r="M105" s="308"/>
      <c r="N105" s="308"/>
      <c r="O105" s="308"/>
      <c r="P105" s="564" t="s">
        <v>115</v>
      </c>
      <c r="Q105" s="564"/>
      <c r="R105" s="564"/>
      <c r="S105" s="564"/>
      <c r="T105" s="564"/>
      <c r="U105" s="564" t="s">
        <v>116</v>
      </c>
      <c r="V105" s="564"/>
      <c r="W105" s="564"/>
      <c r="X105" s="564"/>
      <c r="Y105" s="564"/>
      <c r="Z105" s="309"/>
      <c r="AA105" s="309"/>
      <c r="AB105" s="309"/>
      <c r="AC105" s="309"/>
      <c r="AD105" s="309"/>
      <c r="AE105" s="309"/>
      <c r="AF105" s="309"/>
      <c r="AG105" s="309"/>
      <c r="AH105" s="309"/>
      <c r="AI105" s="309"/>
      <c r="AJ105" s="568" t="s">
        <v>115</v>
      </c>
      <c r="AK105" s="568"/>
      <c r="AL105" s="568"/>
      <c r="AM105" s="568"/>
      <c r="AN105" s="568"/>
      <c r="AO105" s="568" t="s">
        <v>116</v>
      </c>
      <c r="AP105" s="568"/>
      <c r="AQ105" s="568"/>
      <c r="AR105" s="568"/>
      <c r="AS105" s="568"/>
      <c r="AT105" s="597"/>
      <c r="AU105" s="598"/>
      <c r="AV105" s="598"/>
      <c r="AW105" s="598"/>
      <c r="AX105" s="598"/>
      <c r="AY105" s="598"/>
      <c r="AZ105" s="598"/>
      <c r="BA105" s="598"/>
      <c r="BB105" s="598"/>
      <c r="BC105" s="599"/>
      <c r="BD105" s="600" t="s">
        <v>115</v>
      </c>
      <c r="BE105" s="600"/>
      <c r="BF105" s="600"/>
      <c r="BG105" s="600"/>
      <c r="BH105" s="600"/>
      <c r="BI105" s="600" t="s">
        <v>116</v>
      </c>
      <c r="BJ105" s="600"/>
      <c r="BK105" s="600"/>
      <c r="BL105" s="600"/>
      <c r="BM105" s="600"/>
      <c r="BN105" s="608"/>
      <c r="BO105" s="609"/>
      <c r="BP105" s="609"/>
      <c r="BQ105" s="609"/>
      <c r="BR105" s="609"/>
      <c r="BS105" s="609"/>
      <c r="BT105" s="609"/>
      <c r="BU105" s="609"/>
      <c r="BV105" s="609"/>
      <c r="BW105" s="610"/>
      <c r="BX105" s="588" t="s">
        <v>115</v>
      </c>
      <c r="BY105" s="589"/>
      <c r="BZ105" s="589"/>
      <c r="CA105" s="589"/>
      <c r="CB105" s="589"/>
      <c r="CC105" s="592" t="s">
        <v>118</v>
      </c>
      <c r="CD105" s="593"/>
      <c r="CE105" s="593"/>
      <c r="CF105" s="593"/>
      <c r="CG105" s="593"/>
      <c r="CH105" s="601"/>
      <c r="CI105" s="601"/>
      <c r="CJ105" s="601"/>
      <c r="CK105" s="601"/>
      <c r="CL105" s="601"/>
      <c r="CM105" s="601"/>
      <c r="CN105" s="601"/>
      <c r="CO105" s="601"/>
      <c r="CP105" s="601"/>
      <c r="CQ105" s="601"/>
      <c r="CR105" s="605" t="s">
        <v>117</v>
      </c>
      <c r="CS105" s="606"/>
      <c r="CT105" s="606"/>
      <c r="CU105" s="606"/>
      <c r="CV105" s="607"/>
      <c r="CW105" s="600" t="s">
        <v>118</v>
      </c>
      <c r="CX105" s="601"/>
      <c r="CY105" s="601"/>
      <c r="CZ105" s="601"/>
      <c r="DA105" s="601"/>
      <c r="DB105" s="593"/>
      <c r="DC105" s="593"/>
      <c r="DD105" s="593"/>
      <c r="DE105" s="593"/>
      <c r="DF105" s="593"/>
      <c r="DG105" s="593"/>
      <c r="DH105" s="593"/>
      <c r="DI105" s="593"/>
      <c r="DJ105" s="593"/>
      <c r="DK105" s="593"/>
      <c r="DL105" s="592" t="s">
        <v>117</v>
      </c>
      <c r="DM105" s="593"/>
      <c r="DN105" s="593"/>
      <c r="DO105" s="593"/>
      <c r="DP105" s="593"/>
      <c r="DQ105" s="592" t="s">
        <v>116</v>
      </c>
      <c r="DR105" s="593"/>
      <c r="DS105" s="593"/>
      <c r="DT105" s="593"/>
      <c r="DU105" s="593"/>
      <c r="DV105" s="601"/>
      <c r="DW105" s="601"/>
      <c r="DX105" s="601"/>
      <c r="DY105" s="601"/>
      <c r="DZ105" s="601"/>
      <c r="EA105" s="601"/>
      <c r="EB105" s="601"/>
      <c r="EC105" s="601"/>
      <c r="ED105" s="601"/>
      <c r="EE105" s="601"/>
      <c r="EF105" s="601"/>
      <c r="EG105" s="600" t="s">
        <v>117</v>
      </c>
      <c r="EH105" s="601"/>
      <c r="EI105" s="601"/>
      <c r="EJ105" s="601"/>
      <c r="EK105" s="600" t="s">
        <v>118</v>
      </c>
      <c r="EL105" s="601"/>
      <c r="EM105" s="601"/>
      <c r="EN105" s="601"/>
      <c r="EO105" s="601"/>
      <c r="EP105" s="589"/>
      <c r="EQ105" s="589"/>
      <c r="ER105" s="589"/>
      <c r="ES105" s="589"/>
      <c r="ET105" s="589"/>
      <c r="EU105" s="589"/>
      <c r="EV105" s="589"/>
      <c r="EW105" s="589"/>
      <c r="EX105" s="589"/>
      <c r="EY105" s="589"/>
      <c r="EZ105" s="588" t="s">
        <v>117</v>
      </c>
      <c r="FA105" s="589"/>
      <c r="FB105" s="589"/>
      <c r="FC105" s="589"/>
      <c r="FD105" s="589"/>
      <c r="FE105" s="588" t="s">
        <v>116</v>
      </c>
      <c r="FF105" s="589"/>
      <c r="FG105" s="589"/>
      <c r="FH105" s="589"/>
      <c r="FI105" s="589"/>
      <c r="FJ105" s="601"/>
      <c r="FK105" s="601"/>
      <c r="FL105" s="601"/>
      <c r="FM105" s="601"/>
      <c r="FN105" s="601"/>
      <c r="FO105" s="601"/>
      <c r="FP105" s="601"/>
      <c r="FQ105" s="601"/>
      <c r="FR105" s="601"/>
      <c r="FS105" s="601"/>
      <c r="FT105" s="600" t="s">
        <v>117</v>
      </c>
      <c r="FU105" s="601"/>
      <c r="FV105" s="601"/>
      <c r="FW105" s="601"/>
      <c r="FX105" s="601"/>
      <c r="FY105" s="600" t="s">
        <v>118</v>
      </c>
      <c r="FZ105" s="601"/>
      <c r="GA105" s="601"/>
      <c r="GB105" s="601"/>
      <c r="GC105" s="601"/>
      <c r="GD105" s="589"/>
      <c r="GE105" s="589"/>
      <c r="GF105" s="589"/>
      <c r="GG105" s="589"/>
      <c r="GH105" s="589"/>
      <c r="GI105" s="589"/>
      <c r="GJ105" s="589"/>
      <c r="GK105" s="589"/>
      <c r="GL105" s="589"/>
      <c r="GM105" s="589"/>
      <c r="GN105" s="588" t="s">
        <v>117</v>
      </c>
      <c r="GO105" s="589"/>
      <c r="GP105" s="589"/>
      <c r="GQ105" s="589"/>
      <c r="GR105" s="589"/>
      <c r="GS105" s="588" t="s">
        <v>118</v>
      </c>
      <c r="GT105" s="589"/>
      <c r="GU105" s="589"/>
      <c r="GV105" s="589"/>
      <c r="GW105" s="608"/>
      <c r="GX105" s="642"/>
      <c r="GY105" s="642"/>
      <c r="GZ105" s="642"/>
      <c r="HA105" s="642"/>
      <c r="HB105" s="642"/>
    </row>
    <row r="106" spans="3:210" ht="45" customHeight="1" x14ac:dyDescent="0.25">
      <c r="C106" s="307" t="s">
        <v>112</v>
      </c>
      <c r="D106" s="307" t="s">
        <v>113</v>
      </c>
      <c r="E106" s="39" t="s">
        <v>119</v>
      </c>
      <c r="F106" s="310" t="s">
        <v>525</v>
      </c>
      <c r="G106" s="310" t="s">
        <v>526</v>
      </c>
      <c r="H106" s="310" t="s">
        <v>527</v>
      </c>
      <c r="I106" s="310" t="s">
        <v>528</v>
      </c>
      <c r="J106" s="310" t="s">
        <v>529</v>
      </c>
      <c r="K106" s="310" t="s">
        <v>530</v>
      </c>
      <c r="L106" s="310" t="s">
        <v>531</v>
      </c>
      <c r="M106" s="310" t="s">
        <v>532</v>
      </c>
      <c r="N106" s="310" t="s">
        <v>533</v>
      </c>
      <c r="O106" s="310" t="s">
        <v>534</v>
      </c>
      <c r="P106" s="310" t="s">
        <v>130</v>
      </c>
      <c r="Q106" s="310" t="s">
        <v>535</v>
      </c>
      <c r="R106" s="310" t="s">
        <v>536</v>
      </c>
      <c r="S106" s="310" t="s">
        <v>537</v>
      </c>
      <c r="T106" s="310" t="s">
        <v>538</v>
      </c>
      <c r="U106" s="310" t="s">
        <v>539</v>
      </c>
      <c r="V106" s="310" t="s">
        <v>540</v>
      </c>
      <c r="W106" s="310" t="s">
        <v>541</v>
      </c>
      <c r="X106" s="310" t="s">
        <v>542</v>
      </c>
      <c r="Y106" s="310" t="s">
        <v>543</v>
      </c>
      <c r="Z106" s="311" t="s">
        <v>138</v>
      </c>
      <c r="AA106" s="311" t="s">
        <v>544</v>
      </c>
      <c r="AB106" s="311" t="s">
        <v>545</v>
      </c>
      <c r="AC106" s="311" t="s">
        <v>546</v>
      </c>
      <c r="AD106" s="311" t="s">
        <v>547</v>
      </c>
      <c r="AE106" s="311" t="s">
        <v>548</v>
      </c>
      <c r="AF106" s="311" t="s">
        <v>549</v>
      </c>
      <c r="AG106" s="311" t="s">
        <v>550</v>
      </c>
      <c r="AH106" s="311" t="s">
        <v>551</v>
      </c>
      <c r="AI106" s="311" t="s">
        <v>552</v>
      </c>
      <c r="AJ106" s="311" t="s">
        <v>553</v>
      </c>
      <c r="AK106" s="311" t="s">
        <v>554</v>
      </c>
      <c r="AL106" s="311" t="s">
        <v>555</v>
      </c>
      <c r="AM106" s="311" t="s">
        <v>556</v>
      </c>
      <c r="AN106" s="311" t="s">
        <v>557</v>
      </c>
      <c r="AO106" s="311" t="s">
        <v>558</v>
      </c>
      <c r="AP106" s="311" t="s">
        <v>559</v>
      </c>
      <c r="AQ106" s="311" t="s">
        <v>560</v>
      </c>
      <c r="AR106" s="311" t="s">
        <v>561</v>
      </c>
      <c r="AS106" s="311" t="s">
        <v>562</v>
      </c>
      <c r="AT106" s="310" t="s">
        <v>158</v>
      </c>
      <c r="AU106" s="310" t="s">
        <v>563</v>
      </c>
      <c r="AV106" s="310" t="s">
        <v>564</v>
      </c>
      <c r="AW106" s="310" t="s">
        <v>565</v>
      </c>
      <c r="AX106" s="310" t="s">
        <v>566</v>
      </c>
      <c r="AY106" s="310" t="s">
        <v>567</v>
      </c>
      <c r="AZ106" s="310" t="s">
        <v>164</v>
      </c>
      <c r="BA106" s="310" t="s">
        <v>568</v>
      </c>
      <c r="BB106" s="310" t="s">
        <v>569</v>
      </c>
      <c r="BC106" s="310" t="s">
        <v>570</v>
      </c>
      <c r="BD106" s="310" t="s">
        <v>571</v>
      </c>
      <c r="BE106" s="310" t="s">
        <v>572</v>
      </c>
      <c r="BF106" s="310" t="s">
        <v>573</v>
      </c>
      <c r="BG106" s="310" t="s">
        <v>574</v>
      </c>
      <c r="BH106" s="310" t="s">
        <v>575</v>
      </c>
      <c r="BI106" s="310" t="s">
        <v>576</v>
      </c>
      <c r="BJ106" s="310" t="s">
        <v>577</v>
      </c>
      <c r="BK106" s="310" t="s">
        <v>578</v>
      </c>
      <c r="BL106" s="310" t="s">
        <v>579</v>
      </c>
      <c r="BM106" s="310" t="s">
        <v>580</v>
      </c>
      <c r="BN106" s="311" t="s">
        <v>178</v>
      </c>
      <c r="BO106" s="311" t="s">
        <v>581</v>
      </c>
      <c r="BP106" s="311" t="s">
        <v>180</v>
      </c>
      <c r="BQ106" s="311" t="s">
        <v>582</v>
      </c>
      <c r="BR106" s="311" t="s">
        <v>182</v>
      </c>
      <c r="BS106" s="311" t="s">
        <v>583</v>
      </c>
      <c r="BT106" s="311" t="s">
        <v>584</v>
      </c>
      <c r="BU106" s="311" t="s">
        <v>585</v>
      </c>
      <c r="BV106" s="311" t="s">
        <v>186</v>
      </c>
      <c r="BW106" s="311" t="s">
        <v>586</v>
      </c>
      <c r="BX106" s="311" t="s">
        <v>587</v>
      </c>
      <c r="BY106" s="311" t="s">
        <v>588</v>
      </c>
      <c r="BZ106" s="311" t="s">
        <v>589</v>
      </c>
      <c r="CA106" s="311" t="s">
        <v>590</v>
      </c>
      <c r="CB106" s="311" t="s">
        <v>591</v>
      </c>
      <c r="CC106" s="311" t="s">
        <v>592</v>
      </c>
      <c r="CD106" s="311" t="s">
        <v>593</v>
      </c>
      <c r="CE106" s="311" t="s">
        <v>594</v>
      </c>
      <c r="CF106" s="311" t="s">
        <v>595</v>
      </c>
      <c r="CG106" s="311" t="s">
        <v>596</v>
      </c>
      <c r="CH106" s="310" t="s">
        <v>198</v>
      </c>
      <c r="CI106" s="310" t="s">
        <v>597</v>
      </c>
      <c r="CJ106" s="310" t="s">
        <v>200</v>
      </c>
      <c r="CK106" s="310" t="s">
        <v>598</v>
      </c>
      <c r="CL106" s="310" t="s">
        <v>599</v>
      </c>
      <c r="CM106" s="310" t="s">
        <v>600</v>
      </c>
      <c r="CN106" s="310" t="s">
        <v>601</v>
      </c>
      <c r="CO106" s="310" t="s">
        <v>602</v>
      </c>
      <c r="CP106" s="310" t="s">
        <v>206</v>
      </c>
      <c r="CQ106" s="310" t="s">
        <v>603</v>
      </c>
      <c r="CR106" s="310" t="s">
        <v>604</v>
      </c>
      <c r="CS106" s="310" t="s">
        <v>605</v>
      </c>
      <c r="CT106" s="310" t="s">
        <v>606</v>
      </c>
      <c r="CU106" s="310" t="s">
        <v>607</v>
      </c>
      <c r="CV106" s="310" t="s">
        <v>608</v>
      </c>
      <c r="CW106" s="310" t="s">
        <v>609</v>
      </c>
      <c r="CX106" s="310" t="s">
        <v>610</v>
      </c>
      <c r="CY106" s="310" t="s">
        <v>611</v>
      </c>
      <c r="CZ106" s="310" t="s">
        <v>612</v>
      </c>
      <c r="DA106" s="310" t="s">
        <v>613</v>
      </c>
      <c r="DB106" s="311" t="s">
        <v>614</v>
      </c>
      <c r="DC106" s="311" t="s">
        <v>615</v>
      </c>
      <c r="DD106" s="311" t="s">
        <v>220</v>
      </c>
      <c r="DE106" s="311" t="s">
        <v>616</v>
      </c>
      <c r="DF106" s="311" t="s">
        <v>617</v>
      </c>
      <c r="DG106" s="311" t="s">
        <v>618</v>
      </c>
      <c r="DH106" s="311" t="s">
        <v>224</v>
      </c>
      <c r="DI106" s="311" t="s">
        <v>619</v>
      </c>
      <c r="DJ106" s="311" t="s">
        <v>226</v>
      </c>
      <c r="DK106" s="311" t="s">
        <v>620</v>
      </c>
      <c r="DL106" s="311" t="s">
        <v>621</v>
      </c>
      <c r="DM106" s="311" t="s">
        <v>622</v>
      </c>
      <c r="DN106" s="311" t="s">
        <v>623</v>
      </c>
      <c r="DO106" s="311" t="s">
        <v>624</v>
      </c>
      <c r="DP106" s="311" t="s">
        <v>625</v>
      </c>
      <c r="DQ106" s="311" t="s">
        <v>626</v>
      </c>
      <c r="DR106" s="311" t="s">
        <v>627</v>
      </c>
      <c r="DS106" s="311" t="s">
        <v>628</v>
      </c>
      <c r="DT106" s="311" t="s">
        <v>629</v>
      </c>
      <c r="DU106" s="311" t="s">
        <v>630</v>
      </c>
      <c r="DV106" s="310" t="s">
        <v>238</v>
      </c>
      <c r="DW106" s="310" t="s">
        <v>631</v>
      </c>
      <c r="DX106" s="310" t="s">
        <v>240</v>
      </c>
      <c r="DY106" s="310" t="s">
        <v>632</v>
      </c>
      <c r="DZ106" s="310" t="s">
        <v>633</v>
      </c>
      <c r="EA106" s="310" t="s">
        <v>634</v>
      </c>
      <c r="EB106" s="310" t="s">
        <v>244</v>
      </c>
      <c r="EC106" s="310" t="s">
        <v>635</v>
      </c>
      <c r="ED106" s="310" t="s">
        <v>246</v>
      </c>
      <c r="EE106" s="310" t="s">
        <v>636</v>
      </c>
      <c r="EF106" s="310" t="s">
        <v>637</v>
      </c>
      <c r="EG106" s="310" t="s">
        <v>638</v>
      </c>
      <c r="EH106" s="310" t="s">
        <v>639</v>
      </c>
      <c r="EI106" s="310" t="s">
        <v>640</v>
      </c>
      <c r="EJ106" s="310" t="s">
        <v>641</v>
      </c>
      <c r="EK106" s="310" t="s">
        <v>642</v>
      </c>
      <c r="EL106" s="310" t="s">
        <v>643</v>
      </c>
      <c r="EM106" s="310" t="s">
        <v>644</v>
      </c>
      <c r="EN106" s="310" t="s">
        <v>645</v>
      </c>
      <c r="EO106" s="310" t="s">
        <v>646</v>
      </c>
      <c r="EP106" s="311" t="s">
        <v>258</v>
      </c>
      <c r="EQ106" s="311" t="s">
        <v>647</v>
      </c>
      <c r="ER106" s="311" t="s">
        <v>648</v>
      </c>
      <c r="ES106" s="311" t="s">
        <v>649</v>
      </c>
      <c r="ET106" s="311" t="s">
        <v>262</v>
      </c>
      <c r="EU106" s="311" t="s">
        <v>650</v>
      </c>
      <c r="EV106" s="311" t="s">
        <v>264</v>
      </c>
      <c r="EW106" s="311" t="s">
        <v>651</v>
      </c>
      <c r="EX106" s="311" t="s">
        <v>266</v>
      </c>
      <c r="EY106" s="311" t="s">
        <v>652</v>
      </c>
      <c r="EZ106" s="311" t="s">
        <v>653</v>
      </c>
      <c r="FA106" s="311" t="s">
        <v>654</v>
      </c>
      <c r="FB106" s="311" t="s">
        <v>655</v>
      </c>
      <c r="FC106" s="311" t="s">
        <v>656</v>
      </c>
      <c r="FD106" s="311" t="s">
        <v>657</v>
      </c>
      <c r="FE106" s="311" t="s">
        <v>658</v>
      </c>
      <c r="FF106" s="311" t="s">
        <v>659</v>
      </c>
      <c r="FG106" s="311" t="s">
        <v>660</v>
      </c>
      <c r="FH106" s="311" t="s">
        <v>661</v>
      </c>
      <c r="FI106" s="311" t="s">
        <v>662</v>
      </c>
      <c r="FJ106" s="310" t="s">
        <v>663</v>
      </c>
      <c r="FK106" s="310" t="s">
        <v>664</v>
      </c>
      <c r="FL106" s="310" t="s">
        <v>280</v>
      </c>
      <c r="FM106" s="310" t="s">
        <v>665</v>
      </c>
      <c r="FN106" s="310" t="s">
        <v>282</v>
      </c>
      <c r="FO106" s="310" t="s">
        <v>666</v>
      </c>
      <c r="FP106" s="310" t="s">
        <v>667</v>
      </c>
      <c r="FQ106" s="310" t="s">
        <v>668</v>
      </c>
      <c r="FR106" s="310" t="s">
        <v>286</v>
      </c>
      <c r="FS106" s="310" t="s">
        <v>669</v>
      </c>
      <c r="FT106" s="310" t="s">
        <v>670</v>
      </c>
      <c r="FU106" s="310" t="s">
        <v>671</v>
      </c>
      <c r="FV106" s="310" t="s">
        <v>672</v>
      </c>
      <c r="FW106" s="310" t="s">
        <v>673</v>
      </c>
      <c r="FX106" s="310" t="s">
        <v>674</v>
      </c>
      <c r="FY106" s="310" t="s">
        <v>675</v>
      </c>
      <c r="FZ106" s="310" t="s">
        <v>676</v>
      </c>
      <c r="GA106" s="310" t="s">
        <v>677</v>
      </c>
      <c r="GB106" s="310" t="s">
        <v>678</v>
      </c>
      <c r="GC106" s="310" t="s">
        <v>679</v>
      </c>
      <c r="GD106" s="311" t="s">
        <v>298</v>
      </c>
      <c r="GE106" s="311" t="s">
        <v>680</v>
      </c>
      <c r="GF106" s="311" t="s">
        <v>681</v>
      </c>
      <c r="GG106" s="311" t="s">
        <v>682</v>
      </c>
      <c r="GH106" s="311" t="s">
        <v>302</v>
      </c>
      <c r="GI106" s="311" t="s">
        <v>683</v>
      </c>
      <c r="GJ106" s="311" t="s">
        <v>684</v>
      </c>
      <c r="GK106" s="311" t="s">
        <v>685</v>
      </c>
      <c r="GL106" s="311" t="s">
        <v>306</v>
      </c>
      <c r="GM106" s="311" t="s">
        <v>686</v>
      </c>
      <c r="GN106" s="311" t="s">
        <v>687</v>
      </c>
      <c r="GO106" s="311" t="s">
        <v>688</v>
      </c>
      <c r="GP106" s="311" t="s">
        <v>689</v>
      </c>
      <c r="GQ106" s="311" t="s">
        <v>690</v>
      </c>
      <c r="GR106" s="311" t="s">
        <v>691</v>
      </c>
      <c r="GS106" s="311" t="s">
        <v>692</v>
      </c>
      <c r="GT106" s="311" t="s">
        <v>693</v>
      </c>
      <c r="GU106" s="311" t="s">
        <v>694</v>
      </c>
      <c r="GV106" s="311" t="s">
        <v>695</v>
      </c>
      <c r="GW106" s="321" t="s">
        <v>696</v>
      </c>
      <c r="GX106" s="356" t="s">
        <v>697</v>
      </c>
      <c r="GY106" s="356" t="s">
        <v>698</v>
      </c>
      <c r="GZ106" s="356" t="s">
        <v>699</v>
      </c>
      <c r="HA106" s="355" t="s">
        <v>700</v>
      </c>
      <c r="HB106" s="356" t="s">
        <v>701</v>
      </c>
    </row>
    <row r="107" spans="3:210" ht="15.75" x14ac:dyDescent="0.25">
      <c r="C107" s="512"/>
      <c r="D107" s="512" t="e">
        <f>VLOOKUP(Tabla16[[#This Row],[CÓDIGO DEL PRODUCTO Y/O SERVICIO ]],Tabla3[],2,0)</f>
        <v>#N/A</v>
      </c>
      <c r="E107" s="503"/>
      <c r="F107" s="52" t="e">
        <f>VLOOKUP(Tabla16[[#This Row],[CÓDIGO DEL PRODUCTO Y/O SERVICIO ]],Tabla3[],3,0)</f>
        <v>#N/A</v>
      </c>
      <c r="G107" s="52" t="e">
        <f>Tabla16[[#This Row],[UNIDADES PRODUCIDAS AÑO 1 1]]*F91</f>
        <v>#N/A</v>
      </c>
      <c r="H107" s="87" t="e">
        <f>VLOOKUP(Tabla16[[#This Row],[CÓDIGO DEL PRODUCTO Y/O SERVICIO ]],Tabla3[],9,0)</f>
        <v>#N/A</v>
      </c>
      <c r="I107" s="52" t="e">
        <f>Tabla16[[#This Row],[CANTIDADES A UTILIZAR EN EL AÑO 1 1]]*(1+Tabla16[[#This Row],[CAMBIO PORCENTUAL EN UNIDADES VENDIDAS AÑO 2 1]])</f>
        <v>#N/A</v>
      </c>
      <c r="J107" s="87" t="e">
        <f>VLOOKUP(Tabla16[[#This Row],[CÓDIGO DEL PRODUCTO Y/O SERVICIO ]],Tabla3[],13,0)</f>
        <v>#N/A</v>
      </c>
      <c r="K107" s="52" t="e">
        <f>Tabla16[[#This Row],[CANTIDADES  A UTILIZAR EN EL AÑO 2 1]]*(1+Tabla16[[#This Row],[CAMBIO PORCENTUAL EN UNIDADES VENDIDAS AÑO 3 1]])</f>
        <v>#N/A</v>
      </c>
      <c r="L107" s="87" t="e">
        <f>VLOOKUP(Tabla16[[#This Row],[CÓDIGO DEL PRODUCTO Y/O SERVICIO ]],Tabla3[],17,0)</f>
        <v>#N/A</v>
      </c>
      <c r="M107" s="52" t="e">
        <f>Tabla16[[#This Row],[CANTIDADES A UTILIZAR EN EL AÑO 3 1]]*(1+Tabla16[[#This Row],[CAMBIO PORCENTUAL EN UNIDADES VENDIDAS AÑO 4 1]])</f>
        <v>#N/A</v>
      </c>
      <c r="N107" s="87" t="e">
        <f>VLOOKUP(Tabla16[[#This Row],[CÓDIGO DEL PRODUCTO Y/O SERVICIO ]],Tabla3[],21,0)</f>
        <v>#N/A</v>
      </c>
      <c r="O107" s="52" t="e">
        <f>Tabla16[[#This Row],[CANTIDADES A UTILIZAR EN EL AÑO 4 1 ]]*(1+Tabla16[[#This Row],[CAMBIO PORCENTUAL EN UNIDADES VENDIDAS AÑO 5 1]])</f>
        <v>#N/A</v>
      </c>
      <c r="P107" s="293" t="e">
        <f>IF(Tabla16[[#This Row],[CANTIDADES A UTILIZAR EN EL AÑO 1 1]]=0,0,Tabla16[[#This Row],[CANTIDADES A UTILIZAR EN EL AÑO 1 1]]*1/Tabla16[[#This Row],[UNIDADES PRODUCIDAS AÑO 1 1]])</f>
        <v>#N/A</v>
      </c>
      <c r="Q107" s="293">
        <f>$C$74*(1+BASES!$E$14)</f>
        <v>0</v>
      </c>
      <c r="R107" s="293">
        <f>Tabla16[[#This Row],[COSTO UNITARIO AÑO 2 1]]*(1+BASES!$F$14)</f>
        <v>0</v>
      </c>
      <c r="S107" s="293">
        <f>Tabla16[[#This Row],[COSTO UNITARIO AÑO 3 1]]*(1+BASES!$G$14)</f>
        <v>0</v>
      </c>
      <c r="T107" s="293">
        <f>Tabla16[[#This Row],[COSTO UNITARIO AÑO 4 1]]*(1+BASES!$H$14)</f>
        <v>0</v>
      </c>
      <c r="U107" s="293" t="e">
        <f>Tabla16[[#This Row],[COSTO POR UNIDAD DE PRODUCTO (1)]]*$C$74*VLOOKUP(Tabla16[[#This Row],[CÓDIGO DEL PRODUCTO Y/O SERVICIO ]],Tabla3[],3,0)</f>
        <v>#N/A</v>
      </c>
      <c r="V107" s="293" t="e">
        <f>Tabla16[[#This Row],[COSTO POR UNIDAD DE PRODUCTO (1)]]*Tabla16[[#This Row],[COSTO UNITARIO AÑO 2 1]]*VLOOKUP(Tabla16[[#This Row],[CÓDIGO DEL PRODUCTO Y/O SERVICIO ]],Tabla3[],6,0)</f>
        <v>#N/A</v>
      </c>
      <c r="W107" s="293" t="e">
        <f>Tabla16[[#This Row],[COSTO POR UNIDAD DE PRODUCTO (1)]]*Tabla16[[#This Row],[COSTO UNITARIO AÑO 3 1]]*VLOOKUP(Tabla16[[#This Row],[CÓDIGO DEL PRODUCTO Y/O SERVICIO ]],Tabla3[],10,0)</f>
        <v>#N/A</v>
      </c>
      <c r="X107" s="293" t="e">
        <f>Tabla16[[#This Row],[COSTO POR UNIDAD DE PRODUCTO (1)]]*Tabla16[[#This Row],[COSTO UNITARIO AÑO 4 1]]*VLOOKUP(Tabla16[[#This Row],[CÓDIGO DEL PRODUCTO Y/O SERVICIO ]],Tabla3[],14,0)</f>
        <v>#N/A</v>
      </c>
      <c r="Y107" s="293" t="e">
        <f>Tabla16[[#This Row],[COSTO POR UNIDAD DE PRODUCTO (1)]]*Tabla16[[#This Row],[COSTO UNITARIO AÑO 5 1]]*VLOOKUP(Tabla16[[#This Row],[CÓDIGO DEL PRODUCTO Y/O SERVICIO ]],Tabla3[],18,0)</f>
        <v>#N/A</v>
      </c>
      <c r="Z107" s="89" t="e">
        <f>VLOOKUP(Tabla16[[#This Row],[CÓDIGO DEL PRODUCTO Y/O SERVICIO ]],Tabla3[],3,0)</f>
        <v>#N/A</v>
      </c>
      <c r="AA107" s="89" t="e">
        <f>Tabla16[[#This Row],[UNIDADES PRODUCIDAS AÑO 1 2]]*G91</f>
        <v>#N/A</v>
      </c>
      <c r="AB107" s="87" t="e">
        <f>VLOOKUP(Tabla16[[#This Row],[CÓDIGO DEL PRODUCTO Y/O SERVICIO ]],Tabla3[],9,0)</f>
        <v>#N/A</v>
      </c>
      <c r="AC107" s="89" t="e">
        <f>Tabla16[[#This Row],[CANTIDADES A UTILIZAR EN EL AÑO 1 2]]*(1+Tabla16[[#This Row],[CAMBIO PORCENTUAL EN UNIDADES VENDIDAS AÑO 2 2]])</f>
        <v>#N/A</v>
      </c>
      <c r="AD107" s="87" t="e">
        <f>VLOOKUP(Tabla16[[#This Row],[CÓDIGO DEL PRODUCTO Y/O SERVICIO ]],Tabla3[],13,0)</f>
        <v>#N/A</v>
      </c>
      <c r="AE107" s="89" t="e">
        <f>Tabla16[[#This Row],[CANTIDADES A UTILIZAR EN EL AÑO 2 2]]*(1+Tabla16[[#This Row],[CAMBIO PORCENTUAL EN UNIDADES VENDIDAS AÑO 3 2 ]])</f>
        <v>#N/A</v>
      </c>
      <c r="AF107" s="87" t="e">
        <f>VLOOKUP(Tabla16[[#This Row],[CÓDIGO DEL PRODUCTO Y/O SERVICIO ]],Tabla3[],17,0)</f>
        <v>#N/A</v>
      </c>
      <c r="AG107" s="89" t="e">
        <f>Tabla16[[#This Row],[CANTIDADES A UTILIZAR EN EL AÑO 3 2]]*(1+Tabla16[[#This Row],[CAMBIO PORCENTUAL EN UNIDADES VENDIDAS AÑO 4 2]])</f>
        <v>#N/A</v>
      </c>
      <c r="AH107" s="87" t="e">
        <f>VLOOKUP(Tabla16[[#This Row],[CÓDIGO DEL PRODUCTO Y/O SERVICIO ]],Tabla3[],21,0)</f>
        <v>#N/A</v>
      </c>
      <c r="AI107" s="89" t="e">
        <f>Tabla16[[#This Row],[CANTIDADES A UTILIZAR EN EL AÑO 4 2]]*(1+Tabla16[[#This Row],[CAMBIO PORCENTUAL EN UNIDADES VENDIDAS AÑO 5 2]])</f>
        <v>#N/A</v>
      </c>
      <c r="AJ107" s="293" t="e">
        <f>IF(Tabla16[[#This Row],[CANTIDADES A UTILIZAR EN EL AÑO 1 2]]=0,0,Tabla16[[#This Row],[CANTIDADES A UTILIZAR EN EL AÑO 1 2]]*1/Tabla16[[#This Row],[UNIDADES PRODUCIDAS AÑO 1 2]])</f>
        <v>#N/A</v>
      </c>
      <c r="AK107" s="293">
        <f>$C$75*(1+BASES!$E$14)</f>
        <v>0</v>
      </c>
      <c r="AL107" s="293">
        <f>Tabla16[[#This Row],[COSTO UNITARIO AÑO 2 2]]*(1+BASES!$F$14)</f>
        <v>0</v>
      </c>
      <c r="AM107" s="293">
        <f>Tabla16[[#This Row],[COSTO UNITARIO AÑO 3 2]]*(1+BASES!$G$14)</f>
        <v>0</v>
      </c>
      <c r="AN107" s="293">
        <f>Tabla16[[#This Row],[COSTO UNITARIO AÑO 4 2]]*(1+BASES!$H$14)</f>
        <v>0</v>
      </c>
      <c r="AO107" s="293" t="e">
        <f>Tabla16[[#This Row],[COSTO POR UNIDAD DE PRODUCTO (2) ]]*$C$75*VLOOKUP(Tabla16[[#This Row],[CÓDIGO DEL PRODUCTO Y/O SERVICIO ]],Tabla3[],3,0)</f>
        <v>#N/A</v>
      </c>
      <c r="AP107" s="293" t="e">
        <f>Tabla16[[#This Row],[COSTO POR UNIDAD DE PRODUCTO (2) ]]*Tabla16[[#This Row],[COSTO UNITARIO AÑO 2 2]]*VLOOKUP(Tabla16[[#This Row],[CÓDIGO DEL PRODUCTO Y/O SERVICIO ]],Tabla3[],6,0)</f>
        <v>#N/A</v>
      </c>
      <c r="AQ107" s="293" t="e">
        <f>Tabla16[[#This Row],[COSTO POR UNIDAD DE PRODUCTO (2) ]]*Tabla16[[#This Row],[COSTO UNITARIO AÑO 3 2]]*VLOOKUP(Tabla16[[#This Row],[CÓDIGO DEL PRODUCTO Y/O SERVICIO ]],Tabla3[],10,0)</f>
        <v>#N/A</v>
      </c>
      <c r="AR107" s="293" t="e">
        <f>Tabla16[[#This Row],[COSTO POR UNIDAD DE PRODUCTO (2) ]]*Tabla16[[#This Row],[COSTO UNITARIO AÑO 4 2]]*VLOOKUP(Tabla16[[#This Row],[CÓDIGO DEL PRODUCTO Y/O SERVICIO ]],Tabla3[],14,0)</f>
        <v>#N/A</v>
      </c>
      <c r="AS107" s="293" t="e">
        <f>Tabla16[[#This Row],[COSTO POR UNIDAD DE PRODUCTO (2) ]]*Tabla16[[#This Row],[COSTO UNITARIO AÑO 5 2 ]]*VLOOKUP(Tabla16[[#This Row],[CÓDIGO DEL PRODUCTO Y/O SERVICIO ]],Tabla3[],18,0)</f>
        <v>#N/A</v>
      </c>
      <c r="AT107" s="89" t="e">
        <f>VLOOKUP(Tabla16[[#This Row],[CÓDIGO DEL PRODUCTO Y/O SERVICIO ]],Tabla3[],3,0)</f>
        <v>#N/A</v>
      </c>
      <c r="AU107" s="89" t="e">
        <f>Tabla16[[#This Row],[UNIDADES PRODUCIDAS AÑO 1 3]]*H91</f>
        <v>#N/A</v>
      </c>
      <c r="AV107" s="87" t="e">
        <f>VLOOKUP(Tabla16[[#This Row],[CÓDIGO DEL PRODUCTO Y/O SERVICIO ]],Tabla3[],9,0)</f>
        <v>#N/A</v>
      </c>
      <c r="AW107" s="89" t="e">
        <f>Tabla16[[#This Row],[CANTIDADES A UTILIZAR EN EL AÑO 1 3]]*(1+Tabla16[[#This Row],[CAMBIO PORCENTUAL EN UNIDADES VENDIDAS AÑO 2 3]])</f>
        <v>#N/A</v>
      </c>
      <c r="AX107" s="87" t="e">
        <f>VLOOKUP(Tabla16[[#This Row],[CÓDIGO DEL PRODUCTO Y/O SERVICIO ]],Tabla3[],13,0)</f>
        <v>#N/A</v>
      </c>
      <c r="AY107" s="89" t="e">
        <f>Tabla16[[#This Row],[CANTIDADES A UTILIZAR EN EL AÑO 2 3]]*(1+Tabla16[[#This Row],[CAMBIO PORCENTUAL EN UNIDADES VENDIDAS AÑO 3 3]])</f>
        <v>#N/A</v>
      </c>
      <c r="AZ107" s="87" t="e">
        <f>VLOOKUP(Tabla16[[#This Row],[CÓDIGO DEL PRODUCTO Y/O SERVICIO ]],Tabla3[],17,0)</f>
        <v>#N/A</v>
      </c>
      <c r="BA107" s="89" t="e">
        <f>Tabla16[[#This Row],[CANTIDADES A UTILIZAR EN EL AÑO 3 3]]*(1+Tabla16[[#This Row],[CAMBIO PORCENTUAL EN UNIDADES VENDIDAS AÑO 4 3]])</f>
        <v>#N/A</v>
      </c>
      <c r="BB107" s="87" t="e">
        <f>VLOOKUP(Tabla16[[#This Row],[CÓDIGO DEL PRODUCTO Y/O SERVICIO ]],Tabla3[],21,0)</f>
        <v>#N/A</v>
      </c>
      <c r="BC107" s="89" t="e">
        <f>Tabla16[[#This Row],[CANTIDADES A UTILIZAR EN EL AÑO 4 3]]*(1+Tabla16[[#This Row],[CAMBIO PORCENTUAL EN UNIDADES VENDIDAS AÑO 5 3]])</f>
        <v>#N/A</v>
      </c>
      <c r="BD107" s="293" t="e">
        <f>IF(Tabla16[[#This Row],[CANTIDADES A UTILIZAR EN EL AÑO 1 3]]=0,0,Tabla16[[#This Row],[CANTIDADES A UTILIZAR EN EL AÑO 1 3]]*1/Tabla16[[#This Row],[UNIDADES PRODUCIDAS AÑO 1 3]])</f>
        <v>#N/A</v>
      </c>
      <c r="BE107" s="293">
        <f>$C$76*(1+BASES!$E$14)</f>
        <v>0</v>
      </c>
      <c r="BF107" s="293">
        <f>Tabla16[[#This Row],[COSTO UNITARIO AÑO 2 3]]*(1+BASES!$F$14)</f>
        <v>0</v>
      </c>
      <c r="BG107" s="293">
        <f>Tabla16[[#This Row],[COSTO UNITARIO AÑO 3 3]]*(1+BASES!$G$14)</f>
        <v>0</v>
      </c>
      <c r="BH107" s="293">
        <f>Tabla16[[#This Row],[COSTO UNITARIO AÑO 4 3]]*(1+BASES!$H$14)</f>
        <v>0</v>
      </c>
      <c r="BI107" s="293" t="e">
        <f>Tabla16[[#This Row],[COSTO POR UNIDAD DE PRODUCTO (3) ]]*$C$76*VLOOKUP(Tabla16[[#This Row],[CÓDIGO DEL PRODUCTO Y/O SERVICIO ]],Tabla3[],3,0)</f>
        <v>#N/A</v>
      </c>
      <c r="BJ107" s="293" t="e">
        <f>Tabla16[[#This Row],[COSTO POR UNIDAD DE PRODUCTO (3) ]]*Tabla16[[#This Row],[COSTO UNITARIO AÑO 2 3]]*VLOOKUP(Tabla16[[#This Row],[CÓDIGO DEL PRODUCTO Y/O SERVICIO ]],Tabla3[],6,0)</f>
        <v>#N/A</v>
      </c>
      <c r="BK107" s="293" t="e">
        <f>Tabla16[[#This Row],[COSTO POR UNIDAD DE PRODUCTO (3) ]]*Tabla16[[#This Row],[COSTO UNITARIO AÑO 3 3]]*VLOOKUP(Tabla16[[#This Row],[CÓDIGO DEL PRODUCTO Y/O SERVICIO ]],Tabla3[],10,0)</f>
        <v>#N/A</v>
      </c>
      <c r="BL107" s="293" t="e">
        <f>Tabla16[[#This Row],[COSTO POR UNIDAD DE PRODUCTO (3) ]]*Tabla16[[#This Row],[COSTO UNITARIO AÑO 4 3]]*VLOOKUP(Tabla16[[#This Row],[CÓDIGO DEL PRODUCTO Y/O SERVICIO ]],Tabla3[],14,0)</f>
        <v>#N/A</v>
      </c>
      <c r="BM107" s="293" t="e">
        <f>Tabla16[[#This Row],[COSTO POR UNIDAD DE PRODUCTO (3) ]]*Tabla16[[#This Row],[COSTO UNITARIO AÑO 5 3]]*VLOOKUP(Tabla16[[#This Row],[CÓDIGO DEL PRODUCTO Y/O SERVICIO ]],Tabla3[],18,0)</f>
        <v>#N/A</v>
      </c>
      <c r="BN107" s="89" t="e">
        <f>VLOOKUP(Tabla16[[#This Row],[CÓDIGO DEL PRODUCTO Y/O SERVICIO ]],Tabla3[],3,0)</f>
        <v>#N/A</v>
      </c>
      <c r="BO107" s="89" t="e">
        <f>Tabla16[[#This Row],[UNIDADES PRODUCIDAS AÑO 1 4]]*I91</f>
        <v>#N/A</v>
      </c>
      <c r="BP107" s="87" t="e">
        <f>VLOOKUP(Tabla16[[#This Row],[CÓDIGO DEL PRODUCTO Y/O SERVICIO ]],Tabla3[],9,0)</f>
        <v>#N/A</v>
      </c>
      <c r="BQ107" s="89" t="e">
        <f>Tabla16[[#This Row],[CANTIDADES A UTILIZAR EN EL AÑO 1 4]]*(1+Tabla16[[#This Row],[CAMBIO PORCENTUAL EN UNIDADES VENDIDAS AÑO 2 4]])</f>
        <v>#N/A</v>
      </c>
      <c r="BR107" s="87" t="e">
        <f>VLOOKUP(Tabla16[[#This Row],[CÓDIGO DEL PRODUCTO Y/O SERVICIO ]],Tabla3[],13,0)</f>
        <v>#N/A</v>
      </c>
      <c r="BS107" s="89" t="e">
        <f>Tabla16[[#This Row],[CANTIDADES A UTILIZAR EN EL AÑO 2 4]]*(1+Tabla16[[#This Row],[CAMBIO PORCENTUAL EN UNIDADES VENDIDAS AÑO 3 4]])</f>
        <v>#N/A</v>
      </c>
      <c r="BT107" s="87" t="e">
        <f>VLOOKUP(Tabla16[[#This Row],[CÓDIGO DEL PRODUCTO Y/O SERVICIO ]],Tabla3[],17,0)</f>
        <v>#N/A</v>
      </c>
      <c r="BU107" s="89" t="e">
        <f>Tabla16[[#This Row],[CANTIDADES A UTILIZAR EN EL AÑO 3 4]]*(1+Tabla16[[#This Row],[CAMBIO PORCENTUAL EN UNIDADES VENDIDAS AÑO 4 4]])</f>
        <v>#N/A</v>
      </c>
      <c r="BV107" s="87" t="e">
        <f>VLOOKUP(Tabla16[[#This Row],[CÓDIGO DEL PRODUCTO Y/O SERVICIO ]],Tabla3[],21,0)</f>
        <v>#N/A</v>
      </c>
      <c r="BW107" s="89" t="e">
        <f>Tabla16[[#This Row],[CANTIDADES A UTILIZAR EN EL AÑO 4 4]]*(1+Tabla16[[#This Row],[CAMBIO PORCENTUAL EN UNIDADES VENDIDAS AÑO 5 4]])</f>
        <v>#N/A</v>
      </c>
      <c r="BX107" s="293" t="e">
        <f>IF(Tabla16[[#This Row],[CANTIDADES A UTILIZAR EN EL AÑO 1 4]]=0,0,Tabla16[[#This Row],[CANTIDADES A UTILIZAR EN EL AÑO 1 4]]*1/Tabla16[[#This Row],[UNIDADES PRODUCIDAS AÑO 1 4]])</f>
        <v>#N/A</v>
      </c>
      <c r="BY107" s="293">
        <f>$C$77*(1+BASES!$E$14)</f>
        <v>0</v>
      </c>
      <c r="BZ107" s="293">
        <f>Tabla16[[#This Row],[COSTO UNITARIO AÑO 2 4]]*(1+BASES!$F$14)</f>
        <v>0</v>
      </c>
      <c r="CA107" s="293">
        <f>Tabla16[[#This Row],[COSTO UNITARIO AÑO 3 4 ]]*(1+BASES!$G$14)</f>
        <v>0</v>
      </c>
      <c r="CB107" s="293">
        <f>Tabla16[[#This Row],[COSTO UNITARIO AÑO 4 4]]*(1+BASES!$H$14)</f>
        <v>0</v>
      </c>
      <c r="CC107" s="293" t="e">
        <f>Tabla16[[#This Row],[COSTO POR UNIDAD DE PRODUCTO (4)]]*$C$77*VLOOKUP(Tabla16[[#This Row],[CÓDIGO DEL PRODUCTO Y/O SERVICIO ]],Tabla3[],3,0)</f>
        <v>#N/A</v>
      </c>
      <c r="CD107" s="293" t="e">
        <f>Tabla16[[#This Row],[COSTO POR UNIDAD DE PRODUCTO (4)]]*Tabla16[[#This Row],[COSTO UNITARIO AÑO 2 4]]*VLOOKUP(Tabla16[[#This Row],[CÓDIGO DEL PRODUCTO Y/O SERVICIO ]],Tabla3[],6,0)</f>
        <v>#N/A</v>
      </c>
      <c r="CE107" s="293" t="e">
        <f>Tabla16[[#This Row],[COSTO POR UNIDAD DE PRODUCTO (4)]]*Tabla16[[#This Row],[COSTO UNITARIO AÑO 3 4 ]]*VLOOKUP(Tabla16[[#This Row],[CÓDIGO DEL PRODUCTO Y/O SERVICIO ]],Tabla3[],10,0)</f>
        <v>#N/A</v>
      </c>
      <c r="CF107" s="293" t="e">
        <f>Tabla16[[#This Row],[COSTO POR UNIDAD DE PRODUCTO (4)]]*Tabla16[[#This Row],[COSTO UNITARIO AÑO 4 4]]*VLOOKUP(Tabla16[[#This Row],[CÓDIGO DEL PRODUCTO Y/O SERVICIO ]],Tabla3[],14,0)</f>
        <v>#N/A</v>
      </c>
      <c r="CG107" s="293" t="e">
        <f>Tabla16[[#This Row],[COSTO POR UNIDAD DE PRODUCTO (4)]]*Tabla16[[#This Row],[COSTO UNITARIO AÑO 5 4 ]]*VLOOKUP(Tabla16[[#This Row],[CÓDIGO DEL PRODUCTO Y/O SERVICIO ]],Tabla3[],18,0)</f>
        <v>#N/A</v>
      </c>
      <c r="CH107" s="89" t="e">
        <f>VLOOKUP(Tabla16[[#This Row],[CÓDIGO DEL PRODUCTO Y/O SERVICIO ]],Tabla3[],3,0)</f>
        <v>#N/A</v>
      </c>
      <c r="CI107" s="89" t="e">
        <f>Tabla16[[#This Row],[UNIDADES PRODUCIDAS AÑO 1 5]]*J91</f>
        <v>#N/A</v>
      </c>
      <c r="CJ107" s="87" t="e">
        <f>VLOOKUP(Tabla16[[#This Row],[CÓDIGO DEL PRODUCTO Y/O SERVICIO ]],Tabla3[],9,0)</f>
        <v>#N/A</v>
      </c>
      <c r="CK107" s="89" t="e">
        <f>Tabla16[[#This Row],[CANTIDADES A UTILIZAR EN EL AÑO 1 5]]*(1+Tabla16[[#This Row],[CAMBIO PORCENTUAL EN UNIDADES VENDIDAS AÑO 2 5]])</f>
        <v>#N/A</v>
      </c>
      <c r="CL107" s="87" t="e">
        <f>VLOOKUP(Tabla16[[#This Row],[CÓDIGO DEL PRODUCTO Y/O SERVICIO ]],Tabla3[],13,0)</f>
        <v>#N/A</v>
      </c>
      <c r="CM107" s="89" t="e">
        <f>Tabla16[[#This Row],[CANTIDADES A UTILIZAR EN EL AÑO 2 5]]*(1+Tabla16[[#This Row],[CAMBIO PORCENTUAL EN UNIDADES VENDIDAS AÑO 3 5]])</f>
        <v>#N/A</v>
      </c>
      <c r="CN107" s="87" t="e">
        <f>VLOOKUP(Tabla16[[#This Row],[CÓDIGO DEL PRODUCTO Y/O SERVICIO ]],Tabla3[],17,0)</f>
        <v>#N/A</v>
      </c>
      <c r="CO107" s="89" t="e">
        <f>Tabla16[[#This Row],[CANTIDADES A UTILIZAR EN EL AÑO 3 5 ]]*(1+Tabla16[[#This Row],[CAMBIO PORCENTUAL EN UNIDADES VENDIDAS AÑO 4 5]])</f>
        <v>#N/A</v>
      </c>
      <c r="CP107" s="87" t="e">
        <f>VLOOKUP(Tabla16[[#This Row],[CÓDIGO DEL PRODUCTO Y/O SERVICIO ]],Tabla3[],21,0)</f>
        <v>#N/A</v>
      </c>
      <c r="CQ107" s="89" t="e">
        <f>Tabla16[[#This Row],[CANTIDADES A UTILIZAR EN EL AÑO 4 5]]*(1+Tabla16[[#This Row],[CAMBIO PORCENTUAL EN UNIDADES VENDIDAS AÑO 5 5]])</f>
        <v>#N/A</v>
      </c>
      <c r="CR107" s="293" t="e">
        <f>IF(Tabla16[[#This Row],[CANTIDADES A UTILIZAR EN EL AÑO 1 5]]=0,0,Tabla16[[#This Row],[CANTIDADES A UTILIZAR EN EL AÑO 1 5]]*1/Tabla16[[#This Row],[UNIDADES PRODUCIDAS AÑO 1 5]])</f>
        <v>#N/A</v>
      </c>
      <c r="CS107" s="293">
        <f>$C$78*(1+BASES!$E$14)</f>
        <v>0</v>
      </c>
      <c r="CT107" s="293">
        <f>Tabla16[[#This Row],[COSTO UNITARIO AÑO 2 5]]*(1+BASES!$F$14)</f>
        <v>0</v>
      </c>
      <c r="CU107" s="293">
        <f>Tabla16[[#This Row],[COSTO UNITARIO AÑO 3 5]]*(1+BASES!$G$14)</f>
        <v>0</v>
      </c>
      <c r="CV107" s="293">
        <f>Tabla16[[#This Row],[COSTO UNITARIO AÑO 4 5]]*(1+BASES!$H$14)</f>
        <v>0</v>
      </c>
      <c r="CW107" s="293" t="e">
        <f>Tabla16[[#This Row],[COSTO POR UNIDAD DE PRODUCTO (5) ]]*$C$78*VLOOKUP(Tabla16[[#This Row],[CÓDIGO DEL PRODUCTO Y/O SERVICIO ]],Tabla3[],3,0)</f>
        <v>#N/A</v>
      </c>
      <c r="CX107" s="293" t="e">
        <f>Tabla16[[#This Row],[COSTO POR UNIDAD DE PRODUCTO (5) ]]*Tabla16[[#This Row],[COSTO UNITARIO AÑO 2 5]]*VLOOKUP(Tabla16[[#This Row],[CÓDIGO DEL PRODUCTO Y/O SERVICIO ]],Tabla3[],6,0)</f>
        <v>#N/A</v>
      </c>
      <c r="CY107" s="293" t="e">
        <f>Tabla16[[#This Row],[COSTO POR UNIDAD DE PRODUCTO (5) ]]*Tabla16[[#This Row],[COSTO UNITARIO AÑO 3 5]]*VLOOKUP(Tabla16[[#This Row],[CÓDIGO DEL PRODUCTO Y/O SERVICIO ]],Tabla3[],10,0)</f>
        <v>#N/A</v>
      </c>
      <c r="CZ107" s="293" t="e">
        <f>Tabla16[[#This Row],[COSTO POR UNIDAD DE PRODUCTO (5) ]]*Tabla16[[#This Row],[COSTO UNITARIO AÑO 4 5]]*VLOOKUP(Tabla16[[#This Row],[CÓDIGO DEL PRODUCTO Y/O SERVICIO ]],Tabla3[],14,0)</f>
        <v>#N/A</v>
      </c>
      <c r="DA107" s="293" t="e">
        <f>Tabla16[[#This Row],[COSTO POR UNIDAD DE PRODUCTO (5) ]]*Tabla16[[#This Row],[COSTO UNITARIO AÑO 5 5]]*VLOOKUP(Tabla16[[#This Row],[CÓDIGO DEL PRODUCTO Y/O SERVICIO ]],Tabla3[],18,0)</f>
        <v>#N/A</v>
      </c>
      <c r="DB107" s="89" t="e">
        <f>VLOOKUP(Tabla16[[#This Row],[CÓDIGO DEL PRODUCTO Y/O SERVICIO ]],Tabla3[],3,0)</f>
        <v>#N/A</v>
      </c>
      <c r="DC107" s="89" t="e">
        <f>Tabla16[[#This Row],[UNIDADES PRODUCIDAS AÑO 1 6]]*K91</f>
        <v>#N/A</v>
      </c>
      <c r="DD107" s="87" t="e">
        <f>VLOOKUP(Tabla16[[#This Row],[CÓDIGO DEL PRODUCTO Y/O SERVICIO ]],Tabla3[],9,0)</f>
        <v>#N/A</v>
      </c>
      <c r="DE107" s="89" t="e">
        <f>Tabla16[[#This Row],[CANTIDADES A UTILIZAR EN EL AÑO 1 6]]*(1+Tabla16[[#This Row],[CAMBIO PORCENTUAL EN UNIDADES VENDIDAS AÑO 2 6]])</f>
        <v>#N/A</v>
      </c>
      <c r="DF107" s="87" t="e">
        <f>VLOOKUP(Tabla16[[#This Row],[CÓDIGO DEL PRODUCTO Y/O SERVICIO ]],Tabla3[],13,0)</f>
        <v>#N/A</v>
      </c>
      <c r="DG107" s="89" t="e">
        <f>Tabla16[[#This Row],[CANTIDADES A UTILIZAR EN EL AÑO 2 6]]*(1+Tabla16[[#This Row],[CAMBIO PORCENTUAL EN UNIDADES VENDIDAS AÑO 3 6]])</f>
        <v>#N/A</v>
      </c>
      <c r="DH107" s="87" t="e">
        <f>VLOOKUP(Tabla16[[#This Row],[CÓDIGO DEL PRODUCTO Y/O SERVICIO ]],Tabla3[],17,0)</f>
        <v>#N/A</v>
      </c>
      <c r="DI107" s="89" t="e">
        <f>Tabla16[[#This Row],[CANTIDADES A UTILIZAR EN EL AÑO 3 6]]*(1+Tabla16[[#This Row],[CAMBIO PORCENTUAL EN UNIDADES VENDIDAS AÑO 4 6]])</f>
        <v>#N/A</v>
      </c>
      <c r="DJ107" s="87" t="e">
        <f>VLOOKUP(Tabla16[[#This Row],[CÓDIGO DEL PRODUCTO Y/O SERVICIO ]],Tabla3[],21,0)</f>
        <v>#N/A</v>
      </c>
      <c r="DK107" s="89" t="e">
        <f>Tabla16[[#This Row],[CANTIDADES A UTILIZAR EN EL AÑO 4 6]]*(1+Tabla16[[#This Row],[CAMBIO PORCENTUAL EN UNIDADES VENDIDAS AÑO 5 6]])</f>
        <v>#N/A</v>
      </c>
      <c r="DL107" s="293" t="e">
        <f>IF(Tabla16[[#This Row],[CANTIDADES A UTILIZAR EN EL AÑO 1 6]]=0,0,Tabla16[[#This Row],[CANTIDADES A UTILIZAR EN EL AÑO 1 6]]*1/Tabla16[[#This Row],[UNIDADES PRODUCIDAS AÑO 1 6]])</f>
        <v>#N/A</v>
      </c>
      <c r="DM107" s="293">
        <f>$C$79*(1+BASES!$E$14)</f>
        <v>0</v>
      </c>
      <c r="DN107" s="293">
        <f>Tabla16[[#This Row],[COSTO UNITARIO AÑO 2 6]]*(1+BASES!$F$14)</f>
        <v>0</v>
      </c>
      <c r="DO107" s="293">
        <f>Tabla16[[#This Row],[COSTO UNITARIO AÑO 3 6]]*(1+BASES!$G$14)</f>
        <v>0</v>
      </c>
      <c r="DP107" s="293">
        <f>Tabla16[[#This Row],[COSTO UNITARIO AÑO 4 6]]*(1+BASES!$H$14)</f>
        <v>0</v>
      </c>
      <c r="DQ107" s="293" t="e">
        <f>Tabla16[[#This Row],[COSTO POR UNIDAD DE PRODUCTO (6) ]]*$C$79*VLOOKUP(Tabla16[[#This Row],[CÓDIGO DEL PRODUCTO Y/O SERVICIO ]],Tabla3[],3,0)</f>
        <v>#N/A</v>
      </c>
      <c r="DR107" s="293" t="e">
        <f>Tabla16[[#This Row],[COSTO POR UNIDAD DE PRODUCTO (6) ]]*Tabla16[[#This Row],[COSTO UNITARIO AÑO 2 6]]*VLOOKUP(Tabla16[[#This Row],[CÓDIGO DEL PRODUCTO Y/O SERVICIO ]],Tabla3[],6,0)</f>
        <v>#N/A</v>
      </c>
      <c r="DS107" s="293" t="e">
        <f>Tabla16[[#This Row],[COSTO POR UNIDAD DE PRODUCTO (6) ]]*Tabla16[[#This Row],[COSTO UNITARIO AÑO 3 6]]*VLOOKUP(Tabla16[[#This Row],[CÓDIGO DEL PRODUCTO Y/O SERVICIO ]],Tabla3[],10,0)</f>
        <v>#N/A</v>
      </c>
      <c r="DT107" s="293" t="e">
        <f>Tabla16[[#This Row],[COSTO POR UNIDAD DE PRODUCTO (6) ]]*Tabla16[[#This Row],[COSTO UNITARIO AÑO 4 6]]*VLOOKUP(Tabla16[[#This Row],[CÓDIGO DEL PRODUCTO Y/O SERVICIO ]],Tabla3[],14,0)</f>
        <v>#N/A</v>
      </c>
      <c r="DU107" s="293" t="e">
        <f>Tabla16[[#This Row],[COSTO POR UNIDAD DE PRODUCTO (6) ]]*Tabla16[[#This Row],[COSTO UNITARIO AÑO 5 6]]*VLOOKUP(Tabla16[[#This Row],[CÓDIGO DEL PRODUCTO Y/O SERVICIO ]],Tabla3[],18,0)</f>
        <v>#N/A</v>
      </c>
      <c r="DV107" s="89" t="e">
        <f>VLOOKUP(Tabla16[[#This Row],[CÓDIGO DEL PRODUCTO Y/O SERVICIO ]],Tabla3[],3,0)</f>
        <v>#N/A</v>
      </c>
      <c r="DW107" s="89" t="e">
        <f>Tabla16[[#This Row],[UNIDADES PRODUCIDAS AÑO 1 7]]*L91</f>
        <v>#N/A</v>
      </c>
      <c r="DX107" s="87" t="e">
        <f>VLOOKUP(Tabla16[[#This Row],[CÓDIGO DEL PRODUCTO Y/O SERVICIO ]],Tabla3[],9,0)</f>
        <v>#N/A</v>
      </c>
      <c r="DY107" s="89" t="e">
        <f>Tabla16[[#This Row],[CANTIDADES A UTILIZAR EN EL AÑO 1 7]]*(1+Tabla16[[#This Row],[CAMBIO PORCENTUAL EN UNIDADES VENDIDAS AÑO 2 7]])</f>
        <v>#N/A</v>
      </c>
      <c r="DZ107" s="87" t="e">
        <f>VLOOKUP(Tabla16[[#This Row],[CÓDIGO DEL PRODUCTO Y/O SERVICIO ]],Tabla3[],13,0)</f>
        <v>#N/A</v>
      </c>
      <c r="EA107" s="89" t="e">
        <f>Tabla16[[#This Row],[CANTIDADES A UTILIZAR EN EL AÑO 2 7]]*(1+Tabla16[[#This Row],[CAMBIO PORCENTUAL EN UNIDADES VENDIDAS AÑO 3 7]])</f>
        <v>#N/A</v>
      </c>
      <c r="EB107" s="87" t="e">
        <f>VLOOKUP(Tabla16[[#This Row],[CÓDIGO DEL PRODUCTO Y/O SERVICIO ]],Tabla3[],17,0)</f>
        <v>#N/A</v>
      </c>
      <c r="EC107" s="89" t="e">
        <f>Tabla16[[#This Row],[CANTIDADES A UTILIZAR EN EL AÑO 3 7]]*(1+Tabla16[[#This Row],[CAMBIO PORCENTUAL EN UNIDADES VENDIDAS AÑO 4 7]])</f>
        <v>#N/A</v>
      </c>
      <c r="ED107" s="87" t="e">
        <f>VLOOKUP(Tabla16[[#This Row],[CÓDIGO DEL PRODUCTO Y/O SERVICIO ]],Tabla3[],21,0)</f>
        <v>#N/A</v>
      </c>
      <c r="EE107" s="89" t="e">
        <f>Tabla16[[#This Row],[CANTIDADES A UTILIZAR EN EL AÑO 4 7]]*(1+Tabla16[[#This Row],[CAMBIO PORCENTUAL EN UNIDADES VENDIDAS AÑO 5 7]])</f>
        <v>#N/A</v>
      </c>
      <c r="EF107" s="293" t="e">
        <f>IF(Tabla16[[#This Row],[CANTIDADES A UTILIZAR EN EL AÑO 1 7]]=0,0,Tabla16[[#This Row],[CANTIDADES A UTILIZAR EN EL AÑO 1 7]]*1/Tabla16[[#This Row],[UNIDADES PRODUCIDAS AÑO 1 7]])</f>
        <v>#N/A</v>
      </c>
      <c r="EG107" s="293">
        <f>$C$80*(1+BASES!$E$14)</f>
        <v>0</v>
      </c>
      <c r="EH107" s="293">
        <f>Tabla16[[#This Row],[COSTO UNITARIO AÑO 2 7]]*(1+BASES!$F$14)</f>
        <v>0</v>
      </c>
      <c r="EI107" s="293">
        <f>Tabla16[[#This Row],[COSTO UNITARIO AÑO 3 7]]*(1+BASES!$G$14)</f>
        <v>0</v>
      </c>
      <c r="EJ107" s="293">
        <f>Tabla16[[#This Row],[COSTO UNITARIO AÑO 4 7]]*(1+BASES!$H$14)</f>
        <v>0</v>
      </c>
      <c r="EK107" s="293" t="e">
        <f>Tabla16[[#This Row],[COSTO POR UNIDAD DE PRODUCTO (7) ]]*$C$80*VLOOKUP(Tabla16[[#This Row],[CÓDIGO DEL PRODUCTO Y/O SERVICIO ]],Tabla3[],3,0)</f>
        <v>#N/A</v>
      </c>
      <c r="EL107" s="293" t="e">
        <f>Tabla16[[#This Row],[COSTO POR UNIDAD DE PRODUCTO (7) ]]*Tabla16[[#This Row],[COSTO UNITARIO AÑO 2 7]]*VLOOKUP(Tabla16[[#This Row],[CÓDIGO DEL PRODUCTO Y/O SERVICIO ]],Tabla3[],6,0)</f>
        <v>#N/A</v>
      </c>
      <c r="EM107" s="293" t="e">
        <f>Tabla16[[#This Row],[COSTO POR UNIDAD DE PRODUCTO (7) ]]*Tabla16[[#This Row],[COSTO UNITARIO AÑO 3 7]]*VLOOKUP(Tabla16[[#This Row],[CÓDIGO DEL PRODUCTO Y/O SERVICIO ]],Tabla3[],10,0)</f>
        <v>#N/A</v>
      </c>
      <c r="EN107" s="293" t="e">
        <f>Tabla16[[#This Row],[COSTO POR UNIDAD DE PRODUCTO (7) ]]*Tabla16[[#This Row],[COSTO UNITARIO AÑO 4 7]]*VLOOKUP(Tabla16[[#This Row],[CÓDIGO DEL PRODUCTO Y/O SERVICIO ]],Tabla3[],14,0)</f>
        <v>#N/A</v>
      </c>
      <c r="EO107" s="293" t="e">
        <f>Tabla16[[#This Row],[COSTO POR UNIDAD DE PRODUCTO (7) ]]*Tabla16[[#This Row],[COSTO UNITARIO AÑO 5 7]]*VLOOKUP(Tabla16[[#This Row],[CÓDIGO DEL PRODUCTO Y/O SERVICIO ]],Tabla3[],18,0)</f>
        <v>#N/A</v>
      </c>
      <c r="EP107" s="89" t="e">
        <f>VLOOKUP(Tabla16[[#This Row],[CÓDIGO DEL PRODUCTO Y/O SERVICIO ]],Tabla3[],3,0)</f>
        <v>#N/A</v>
      </c>
      <c r="EQ107" s="89" t="e">
        <f>Tabla16[[#This Row],[UNIDADES PRODUCIDAS AÑO 1 8]]*M91</f>
        <v>#N/A</v>
      </c>
      <c r="ER107" s="87" t="e">
        <f>VLOOKUP(Tabla16[[#This Row],[CÓDIGO DEL PRODUCTO Y/O SERVICIO ]],Tabla3[],9,0)</f>
        <v>#N/A</v>
      </c>
      <c r="ES107" s="89" t="e">
        <f>Tabla16[[#This Row],[CANTIDADES A UTILIZAR EN EL AÑO 1 8]]*(1+Tabla16[[#This Row],[CAMBIO PORCENTUAL EN UNIDADES VENDIDAS AÑO 2 8]])</f>
        <v>#N/A</v>
      </c>
      <c r="ET107" s="87" t="e">
        <f>VLOOKUP(Tabla16[[#This Row],[CÓDIGO DEL PRODUCTO Y/O SERVICIO ]],Tabla3[],13,0)</f>
        <v>#N/A</v>
      </c>
      <c r="EU107" s="89" t="e">
        <f>Tabla16[[#This Row],[CANTIDADES A UTILIZAR EN EL AÑO 2 8]]*(1+Tabla16[[#This Row],[CAMBIO PORCENTUAL EN UNIDADES VENDIDAS AÑO 3 8]])</f>
        <v>#N/A</v>
      </c>
      <c r="EV107" s="87" t="e">
        <f>VLOOKUP(Tabla16[[#This Row],[CÓDIGO DEL PRODUCTO Y/O SERVICIO ]],Tabla3[],17,0)</f>
        <v>#N/A</v>
      </c>
      <c r="EW107" s="89" t="e">
        <f>Tabla16[[#This Row],[CANTIDADES A UTILIZAR EN EL AÑO 3 8]]*(1+Tabla16[[#This Row],[CAMBIO PORCENTUAL EN UNIDADES VENDIDAS AÑO 4 8]])</f>
        <v>#N/A</v>
      </c>
      <c r="EX107" s="87" t="e">
        <f>VLOOKUP(Tabla16[[#This Row],[CÓDIGO DEL PRODUCTO Y/O SERVICIO ]],Tabla3[],21,0)</f>
        <v>#N/A</v>
      </c>
      <c r="EY107" s="89" t="e">
        <f>Tabla16[[#This Row],[CANTIDADES A UTILIZAR EN EL AÑO 4 8]]*(1+Tabla16[[#This Row],[CAMBIO PORCENTUAL EN UNIDADES VENDIDAS AÑO 5 8]])</f>
        <v>#N/A</v>
      </c>
      <c r="EZ107" s="293" t="e">
        <f>IF(Tabla16[[#This Row],[CANTIDADES A UTILIZAR EN EL AÑO 1 8]]=0,0,Tabla16[[#This Row],[CANTIDADES A UTILIZAR EN EL AÑO 1 8]]*1/Tabla16[[#This Row],[UNIDADES PRODUCIDAS AÑO 1 8]])</f>
        <v>#N/A</v>
      </c>
      <c r="FA107" s="293">
        <f>$C$81*(1+BASES!$E$14)</f>
        <v>0</v>
      </c>
      <c r="FB107" s="293">
        <f>Tabla16[[#This Row],[COSTO UNITARIO AÑO 2 8]]*(1+BASES!$F$14)</f>
        <v>0</v>
      </c>
      <c r="FC107" s="293">
        <f>Tabla16[[#This Row],[COSTO UNITARIO AÑO 3 8]]*(1+BASES!$G$14)</f>
        <v>0</v>
      </c>
      <c r="FD107" s="293">
        <f>Tabla16[[#This Row],[COSTO UNITARIO AÑO 4 8]]*(1+BASES!$H$14)</f>
        <v>0</v>
      </c>
      <c r="FE107" s="293" t="e">
        <f>Tabla16[[#This Row],[COSTO POR UNIDAD DE PRODUCTO (8) ]]*$C$81*VLOOKUP(Tabla16[[#This Row],[CÓDIGO DEL PRODUCTO Y/O SERVICIO ]],Tabla3[],3,0)</f>
        <v>#N/A</v>
      </c>
      <c r="FF107" s="293" t="e">
        <f>Tabla16[[#This Row],[COSTO POR UNIDAD DE PRODUCTO (8) ]]*Tabla16[[#This Row],[COSTO UNITARIO AÑO 2 8]]*VLOOKUP(Tabla16[[#This Row],[CÓDIGO DEL PRODUCTO Y/O SERVICIO ]],Tabla3[],6,0)</f>
        <v>#N/A</v>
      </c>
      <c r="FG107" s="293" t="e">
        <f>Tabla16[[#This Row],[COSTO POR UNIDAD DE PRODUCTO (8) ]]*Tabla16[[#This Row],[COSTO UNITARIO AÑO 3 8]]*VLOOKUP(Tabla16[[#This Row],[CÓDIGO DEL PRODUCTO Y/O SERVICIO ]],Tabla3[],10,0)</f>
        <v>#N/A</v>
      </c>
      <c r="FH107" s="293" t="e">
        <f>Tabla16[[#This Row],[COSTO POR UNIDAD DE PRODUCTO (8) ]]*Tabla16[[#This Row],[COSTO UNITARIO AÑO 4 8]]*VLOOKUP(Tabla16[[#This Row],[CÓDIGO DEL PRODUCTO Y/O SERVICIO ]],Tabla3[],14,0)</f>
        <v>#N/A</v>
      </c>
      <c r="FI107" s="293" t="e">
        <f>Tabla16[[#This Row],[COSTO POR UNIDAD DE PRODUCTO (8) ]]*Tabla16[[#This Row],[COSTO UNITARIO AÑO 5 8]]*VLOOKUP(Tabla16[[#This Row],[CÓDIGO DEL PRODUCTO Y/O SERVICIO ]],Tabla3[],18,0)</f>
        <v>#N/A</v>
      </c>
      <c r="FJ107" s="89" t="e">
        <f>VLOOKUP(Tabla16[[#This Row],[CÓDIGO DEL PRODUCTO Y/O SERVICIO ]],Tabla3[],3,0)</f>
        <v>#N/A</v>
      </c>
      <c r="FK107" s="89" t="e">
        <f>Tabla16[[#This Row],[UNIDADES PRODUCIDAS AÑO 1 9]]*N91</f>
        <v>#N/A</v>
      </c>
      <c r="FL107" s="87" t="e">
        <f>VLOOKUP(Tabla16[[#This Row],[CÓDIGO DEL PRODUCTO Y/O SERVICIO ]],Tabla3[],9,0)</f>
        <v>#N/A</v>
      </c>
      <c r="FM107" s="89" t="e">
        <f>Tabla16[[#This Row],[CANTIDADES A UTILIZAR EN EL AÑO 1 9]]*(1+Tabla16[[#This Row],[CAMBIO PORCENTUAL EN UNIDADES VENDIDAS AÑO 2 9]])</f>
        <v>#N/A</v>
      </c>
      <c r="FN107" s="87" t="e">
        <f>VLOOKUP(Tabla16[[#This Row],[CÓDIGO DEL PRODUCTO Y/O SERVICIO ]],Tabla3[],13,0)</f>
        <v>#N/A</v>
      </c>
      <c r="FO107" s="89" t="e">
        <f>Tabla16[[#This Row],[CANTIDADES A UTILIZAR EN EL AÑO 2 9]]*(1+Tabla16[[#This Row],[CAMBIO PORCENTUAL EN UNIDADES VENDIDAS AÑO 3 9]])</f>
        <v>#N/A</v>
      </c>
      <c r="FP107" s="87" t="e">
        <f>VLOOKUP(Tabla16[[#This Row],[CÓDIGO DEL PRODUCTO Y/O SERVICIO ]],Tabla3[],17,0)</f>
        <v>#N/A</v>
      </c>
      <c r="FQ107" s="89" t="e">
        <f>Tabla16[[#This Row],[CANTIDADES A UTILIZAR EN EL AÑO 3 9]]*(1+Tabla16[[#This Row],[CAMBIO PORCENTUAL EN UNIDADES VENDIDAS AÑO 4 9]])</f>
        <v>#N/A</v>
      </c>
      <c r="FR107" s="87" t="e">
        <f>VLOOKUP(Tabla16[[#This Row],[CÓDIGO DEL PRODUCTO Y/O SERVICIO ]],Tabla3[],21,0)</f>
        <v>#N/A</v>
      </c>
      <c r="FS107" s="89" t="e">
        <f>Tabla16[[#This Row],[CANTIDADES A UTILIZAR EN EL AÑO 4 9]]*(1+Tabla16[[#This Row],[CAMBIO PORCENTUAL EN UNIDADES VENDIDAS AÑO 5 9]])</f>
        <v>#N/A</v>
      </c>
      <c r="FT107" s="293" t="e">
        <f>IF(Tabla16[[#This Row],[CANTIDADES A UTILIZAR EN EL AÑO 1 9]]=0,0,Tabla16[[#This Row],[CANTIDADES A UTILIZAR EN EL AÑO 1 9]]*1/Tabla16[[#This Row],[UNIDADES PRODUCIDAS AÑO 1 9]])</f>
        <v>#N/A</v>
      </c>
      <c r="FU107" s="293">
        <f>$C$82*(1+BASES!$E$14)</f>
        <v>0</v>
      </c>
      <c r="FV107" s="293">
        <f>Tabla16[[#This Row],[COSTO UNITARIO AÑO 2 9]]*(1+BASES!$F$14)</f>
        <v>0</v>
      </c>
      <c r="FW107" s="293">
        <f>Tabla16[[#This Row],[COSTO UNITARIO AÑO 3 9]]*(1+BASES!$G$14)</f>
        <v>0</v>
      </c>
      <c r="FX107" s="293">
        <f>Tabla16[[#This Row],[COSTO UNITARIO AÑO 4 9]]*(1+BASES!$H$14)</f>
        <v>0</v>
      </c>
      <c r="FY107" s="293" t="e">
        <f>Tabla16[[#This Row],[COSTO POR UNIDAD DE PRODUCTO (9) ]]*$C$82*VLOOKUP(Tabla16[[#This Row],[CÓDIGO DEL PRODUCTO Y/O SERVICIO ]],Tabla3[],3,0)</f>
        <v>#N/A</v>
      </c>
      <c r="FZ107" s="293" t="e">
        <f>Tabla16[[#This Row],[COSTO POR UNIDAD DE PRODUCTO (9) ]]*Tabla16[[#This Row],[COSTO UNITARIO AÑO 2 9]]*VLOOKUP(Tabla16[[#This Row],[CÓDIGO DEL PRODUCTO Y/O SERVICIO ]],Tabla3[],6,0)</f>
        <v>#N/A</v>
      </c>
      <c r="GA107" s="293" t="e">
        <f>Tabla16[[#This Row],[COSTO POR UNIDAD DE PRODUCTO (9) ]]*Tabla16[[#This Row],[COSTO UNITARIO AÑO 3 9]]*VLOOKUP(Tabla16[[#This Row],[CÓDIGO DEL PRODUCTO Y/O SERVICIO ]],Tabla3[],10,0)</f>
        <v>#N/A</v>
      </c>
      <c r="GB107" s="293" t="e">
        <f>Tabla16[[#This Row],[COSTO POR UNIDAD DE PRODUCTO (9) ]]*Tabla16[[#This Row],[COSTO UNITARIO AÑO 4 9]]*VLOOKUP(Tabla16[[#This Row],[CÓDIGO DEL PRODUCTO Y/O SERVICIO ]],Tabla3[],14,0)</f>
        <v>#N/A</v>
      </c>
      <c r="GC107" s="293" t="e">
        <f>Tabla16[[#This Row],[COSTO POR UNIDAD DE PRODUCTO (9) ]]*Tabla16[[#This Row],[COSTO UNITARIO AÑO 5 9]]*VLOOKUP(Tabla16[[#This Row],[CÓDIGO DEL PRODUCTO Y/O SERVICIO ]],Tabla3[],18,0)</f>
        <v>#N/A</v>
      </c>
      <c r="GD107" s="89" t="e">
        <f>VLOOKUP(Tabla16[[#This Row],[CÓDIGO DEL PRODUCTO Y/O SERVICIO ]],Tabla3[],3,0)</f>
        <v>#N/A</v>
      </c>
      <c r="GE107" s="89" t="e">
        <f>Tabla16[[#This Row],[UNIDADES PRODUCIDAS AÑO 1 10]]*O91</f>
        <v>#N/A</v>
      </c>
      <c r="GF107" s="87" t="e">
        <f>VLOOKUP(Tabla16[[#This Row],[CÓDIGO DEL PRODUCTO Y/O SERVICIO ]],Tabla3[],9,0)</f>
        <v>#N/A</v>
      </c>
      <c r="GG107" s="89" t="e">
        <f>Tabla16[[#This Row],[CANTIDADES A UTILIZAR EN EL AÑO 1 10]]*(1+Tabla16[[#This Row],[CAMBIO PORCENTUAL EN UNIDADES VENDIDAS AÑO 2 10]])</f>
        <v>#N/A</v>
      </c>
      <c r="GH107" s="87" t="e">
        <f>VLOOKUP(Tabla16[[#This Row],[CÓDIGO DEL PRODUCTO Y/O SERVICIO ]],Tabla3[],13,0)</f>
        <v>#N/A</v>
      </c>
      <c r="GI107" s="89" t="e">
        <f>Tabla16[[#This Row],[CANTIDADES A UTILIZAR EN EL AÑO 2 10]]*(1+Tabla16[[#This Row],[CAMBIO PORCENTUAL EN UNIDADES VENDIDAS AÑO 3 10]])</f>
        <v>#N/A</v>
      </c>
      <c r="GJ107" s="87" t="e">
        <f>VLOOKUP(Tabla16[[#This Row],[CÓDIGO DEL PRODUCTO Y/O SERVICIO ]],Tabla3[],17,0)</f>
        <v>#N/A</v>
      </c>
      <c r="GK107" s="89" t="e">
        <f>Tabla16[[#This Row],[CANTIDADES A UTILIZAR EN EL AÑO 3 10]]*(1+Tabla16[[#This Row],[CAMBIO PORCENTUAL EN UNIDADES VENDIDAS AÑO 4 10 ]])</f>
        <v>#N/A</v>
      </c>
      <c r="GL107" s="87" t="e">
        <f>VLOOKUP(Tabla16[[#This Row],[CÓDIGO DEL PRODUCTO Y/O SERVICIO ]],Tabla3[],21,0)</f>
        <v>#N/A</v>
      </c>
      <c r="GM107" s="89" t="e">
        <f>Tabla16[[#This Row],[CANTIDADES A UTILIZAR EN EL AÑO 4 10]]*(1+Tabla16[[#This Row],[CAMBIO PORCENTUAL EN UNIDADES VENDIDAS AÑO 5 10]])</f>
        <v>#N/A</v>
      </c>
      <c r="GN107" s="293" t="e">
        <f>IF(Tabla16[[#This Row],[CANTIDADES A UTILIZAR EN EL AÑO 1 10]]=0,0,Tabla16[[#This Row],[CANTIDADES A UTILIZAR EN EL AÑO 1 10]]*1/Tabla16[[#This Row],[UNIDADES PRODUCIDAS AÑO 1 10]])</f>
        <v>#N/A</v>
      </c>
      <c r="GO107" s="293">
        <f>$C$83*(1+BASES!$E$14)</f>
        <v>0</v>
      </c>
      <c r="GP107" s="293">
        <f>Tabla16[[#This Row],[COSTO UNITARIO AÑO 2 10]]*(1+BASES!$F$14)</f>
        <v>0</v>
      </c>
      <c r="GQ107" s="293">
        <f>Tabla16[[#This Row],[COSTO UNITARIO AÑO 3 10]]*(1+BASES!$G$14)</f>
        <v>0</v>
      </c>
      <c r="GR107" s="293">
        <f>Tabla16[[#This Row],[COSTO UNITARIO AÑO 4 10]]*(1+BASES!$H$14)</f>
        <v>0</v>
      </c>
      <c r="GS107" s="293" t="e">
        <f>Tabla16[[#This Row],[COSTO POR UNIDAD DE PRODUCTO (10) ]]*C83*VLOOKUP(Tabla16[[#This Row],[CÓDIGO DEL PRODUCTO Y/O SERVICIO ]],Tabla3[],3,0)</f>
        <v>#N/A</v>
      </c>
      <c r="GT107" s="293" t="e">
        <f>Tabla16[[#This Row],[COSTO POR UNIDAD DE PRODUCTO (10) ]]*Tabla16[[#This Row],[COSTO UNITARIO AÑO 2 10]]*VLOOKUP(Tabla16[[#This Row],[CÓDIGO DEL PRODUCTO Y/O SERVICIO ]],Tabla3[],6,0)</f>
        <v>#N/A</v>
      </c>
      <c r="GU107" s="293" t="e">
        <f>Tabla16[[#This Row],[COSTO POR UNIDAD DE PRODUCTO (10) ]]*Tabla16[[#This Row],[COSTO UNITARIO AÑO 3 10]]*VLOOKUP(Tabla16[[#This Row],[CÓDIGO DEL PRODUCTO Y/O SERVICIO ]],Tabla3[],10,0)</f>
        <v>#N/A</v>
      </c>
      <c r="GV107" s="293" t="e">
        <f>Tabla16[[#This Row],[COSTO POR UNIDAD DE PRODUCTO (10) ]]*Tabla16[[#This Row],[COSTO UNITARIO AÑO 4 10]]*VLOOKUP(Tabla16[[#This Row],[CÓDIGO DEL PRODUCTO Y/O SERVICIO ]],Tabla3[],14,0)</f>
        <v>#N/A</v>
      </c>
      <c r="GW107" s="293" t="e">
        <f>Tabla16[[#This Row],[COSTO POR UNIDAD DE PRODUCTO (10) ]]*Tabla16[[#This Row],[COSTO UNITARIO AÑO 5 10]]*VLOOKUP(Tabla16[[#This Row],[CÓDIGO DEL PRODUCTO Y/O SERVICIO ]],Tabla3[],18,0)</f>
        <v>#N/A</v>
      </c>
      <c r="GX107" s="320" t="e">
        <f>Tabla16[[#This Row],[AÑO 1 10]]+Tabla16[[#This Row],[AÑO 1 9]]+Tabla16[[#This Row],[AÑO 1 8]]+Tabla16[[#This Row],[AÑO 1 7]]+Tabla16[[#This Row],[AÑO 1 6]]+Tabla16[[#This Row],[AÑO 1 5]]+Tabla16[[#This Row],[AÑO 1 4]]+Tabla16[[#This Row],[AÑO 1 3]]+Tabla16[[#This Row],[AÑO 1 2]]+Tabla16[[#This Row],[AÑO 1 1]]</f>
        <v>#N/A</v>
      </c>
      <c r="GY107" s="320" t="e">
        <f>Tabla16[[#This Row],[AÑO 2 10]]+Tabla16[[#This Row],[AÑO 2 9]]+Tabla16[[#This Row],[AÑO 2 8]]+Tabla16[[#This Row],[AÑO 2 7]]+Tabla16[[#This Row],[AÑO 2 6]]+Tabla16[[#This Row],[AÑO 2 5]]+Tabla16[[#This Row],[AÑO 2 4]]+Tabla16[[#This Row],[AÑO 2 3]]+Tabla16[[#This Row],[AÑO 2 2]]+Tabla16[[#This Row],[AÑO 2 1]]</f>
        <v>#N/A</v>
      </c>
      <c r="GZ107" s="320" t="e">
        <f>Tabla16[[#This Row],[AÑO 3 10]]+Tabla16[[#This Row],[AÑO 3 9]]+Tabla16[[#This Row],[AÑO 3 8]]+Tabla16[[#This Row],[AÑO 3 7]]+Tabla16[[#This Row],[AÑO 3 6]]+Tabla16[[#This Row],[AÑO 3 5]]+Tabla16[[#This Row],[AÑO 3 4]]+Tabla16[[#This Row],[AÑO 3 3]]+Tabla16[[#This Row],[AÑO 3 2]]+Tabla16[[#This Row],[AÑO 3 1]]</f>
        <v>#N/A</v>
      </c>
      <c r="HA107" s="320" t="e">
        <f>Tabla16[[#This Row],[AÑO 4 10]]+Tabla16[[#This Row],[AÑO 4 9]]+Tabla16[[#This Row],[AÑO 4 8]]+Tabla16[[#This Row],[AÑO 4 7]]+Tabla16[[#This Row],[AÑO 4 6]]+Tabla16[[#This Row],[AÑO 4 5]]+Tabla16[[#This Row],[AÑO 4 4 ]]+Tabla16[[#This Row],[AÑO 4 3]]+Tabla16[[#This Row],[AÑO 4 2]]+Tabla16[[#This Row],[AÑO 4 1]]</f>
        <v>#N/A</v>
      </c>
      <c r="HB107" s="320" t="e">
        <f>Tabla16[[#This Row],[AÑO 5 10]]+Tabla16[[#This Row],[AÑO 5 9]]+Tabla16[[#This Row],[AÑO 5 8]]+Tabla16[[#This Row],[AÑO 5 7]]+Tabla16[[#This Row],[AÑO 5 6]]+Tabla16[[#This Row],[AÑO 5 5]]+Tabla16[[#This Row],[AÑO 5 4]]+Tabla16[[#This Row],[AÑO 5 3]]+Tabla16[[#This Row],[AÑO 5 2]]+Tabla16[[#This Row],[AÑO 5 1]]</f>
        <v>#N/A</v>
      </c>
    </row>
    <row r="108" spans="3:210" x14ac:dyDescent="0.25">
      <c r="C108" s="282"/>
      <c r="D108" s="282"/>
    </row>
    <row r="109" spans="3:210" x14ac:dyDescent="0.25">
      <c r="C109" s="282"/>
      <c r="D109" s="282"/>
    </row>
    <row r="110" spans="3:210" x14ac:dyDescent="0.25">
      <c r="C110" s="282"/>
      <c r="D110" s="282"/>
    </row>
    <row r="111" spans="3:210" x14ac:dyDescent="0.25">
      <c r="C111" s="282"/>
      <c r="D111" s="282"/>
    </row>
    <row r="112" spans="3:210" x14ac:dyDescent="0.25">
      <c r="C112" s="282"/>
      <c r="D112" s="282"/>
    </row>
    <row r="113" spans="2:205" x14ac:dyDescent="0.25">
      <c r="C113" s="282"/>
      <c r="D113" s="282"/>
    </row>
    <row r="114" spans="2:205" x14ac:dyDescent="0.25">
      <c r="C114" s="282"/>
      <c r="D114" s="282"/>
    </row>
    <row r="115" spans="2:205" x14ac:dyDescent="0.25">
      <c r="C115" s="282"/>
      <c r="D115" s="282"/>
    </row>
    <row r="116" spans="2:205" x14ac:dyDescent="0.25">
      <c r="C116" s="282"/>
      <c r="D116" s="282"/>
    </row>
    <row r="117" spans="2:205" s="7" customFormat="1" ht="15.75" x14ac:dyDescent="0.25">
      <c r="C117" s="318"/>
      <c r="D117" s="318"/>
      <c r="U117" s="319" t="e">
        <f>SUM(Tabla16[AÑO 1 1])</f>
        <v>#N/A</v>
      </c>
      <c r="V117" s="319" t="e">
        <f>SUM(Tabla16[AÑO 2 1])</f>
        <v>#N/A</v>
      </c>
      <c r="W117" s="319" t="e">
        <f>SUM(Tabla16[AÑO 3 1])</f>
        <v>#N/A</v>
      </c>
      <c r="X117" s="319" t="e">
        <f>SUM(Tabla16[AÑO 4 1])</f>
        <v>#N/A</v>
      </c>
      <c r="Y117" s="319" t="e">
        <f>SUM(Tabla16[AÑO 5 1])</f>
        <v>#N/A</v>
      </c>
      <c r="AO117" s="319" t="e">
        <f>SUM(Tabla16[AÑO 1 2])</f>
        <v>#N/A</v>
      </c>
      <c r="AP117" s="319" t="e">
        <f>SUM(Tabla16[AÑO 2 2])</f>
        <v>#N/A</v>
      </c>
      <c r="AQ117" s="319" t="e">
        <f>SUM(Tabla16[AÑO 3 2])</f>
        <v>#N/A</v>
      </c>
      <c r="AR117" s="319" t="e">
        <f>SUM(Tabla16[AÑO 4 2])</f>
        <v>#N/A</v>
      </c>
      <c r="AS117" s="319" t="e">
        <f>SUM(Tabla16[AÑO 5 2])</f>
        <v>#N/A</v>
      </c>
      <c r="BI117" s="319" t="e">
        <f>SUM(Tabla16[AÑO 1 3])</f>
        <v>#N/A</v>
      </c>
      <c r="BJ117" s="319" t="e">
        <f>SUM(Tabla16[AÑO 2 3])</f>
        <v>#N/A</v>
      </c>
      <c r="BK117" s="319" t="e">
        <f>SUM(Tabla16[AÑO 3 3])</f>
        <v>#N/A</v>
      </c>
      <c r="BL117" s="319" t="e">
        <f>SUM(Tabla16[AÑO 4 3])</f>
        <v>#N/A</v>
      </c>
      <c r="BM117" s="319" t="e">
        <f>SUM(Tabla16[AÑO 5 3])</f>
        <v>#N/A</v>
      </c>
      <c r="CC117" s="319" t="e">
        <f>SUM(Tabla16[AÑO 1 4])</f>
        <v>#N/A</v>
      </c>
      <c r="CD117" s="319" t="e">
        <f>SUM(Tabla16[AÑO 2 4])</f>
        <v>#N/A</v>
      </c>
      <c r="CE117" s="319" t="e">
        <f>SUM(Tabla16[AÑO 3 4])</f>
        <v>#N/A</v>
      </c>
      <c r="CF117" s="319" t="e">
        <f>SUM(Tabla16[[AÑO 4 4 ]])</f>
        <v>#N/A</v>
      </c>
      <c r="CG117" s="319" t="e">
        <f>SUM(Tabla16[AÑO 5 4])</f>
        <v>#N/A</v>
      </c>
      <c r="CW117" s="319" t="e">
        <f>SUM(Tabla16[AÑO 1 5])</f>
        <v>#N/A</v>
      </c>
      <c r="CX117" s="319" t="e">
        <f>SUM(Tabla16[AÑO 2 5])</f>
        <v>#N/A</v>
      </c>
      <c r="CY117" s="319" t="e">
        <f>SUM(Tabla16[AÑO 3 5])</f>
        <v>#N/A</v>
      </c>
      <c r="CZ117" s="319" t="e">
        <f>SUM(Tabla16[AÑO 4 5])</f>
        <v>#N/A</v>
      </c>
      <c r="DA117" s="319" t="e">
        <f>SUM(Tabla16[AÑO 5 5])</f>
        <v>#N/A</v>
      </c>
      <c r="DQ117" s="319" t="e">
        <f>SUM(Tabla16[AÑO 1 6])</f>
        <v>#N/A</v>
      </c>
      <c r="DR117" s="319" t="e">
        <f>SUM(Tabla16[AÑO 2 6])</f>
        <v>#N/A</v>
      </c>
      <c r="DS117" s="319" t="e">
        <f>SUM(Tabla16[AÑO 3 6])</f>
        <v>#N/A</v>
      </c>
      <c r="DT117" s="319" t="e">
        <f>SUM(Tabla16[AÑO 4 6])</f>
        <v>#N/A</v>
      </c>
      <c r="DU117" s="319" t="e">
        <f>SUM(Tabla16[AÑO 5 6])</f>
        <v>#N/A</v>
      </c>
      <c r="EK117" s="319" t="e">
        <f>SUM(Tabla16[AÑO 1 7])</f>
        <v>#N/A</v>
      </c>
      <c r="EL117" s="319" t="e">
        <f>SUM(Tabla16[AÑO 2 7])</f>
        <v>#N/A</v>
      </c>
      <c r="EM117" s="319" t="e">
        <f>SUM(Tabla16[AÑO 3 7])</f>
        <v>#N/A</v>
      </c>
      <c r="EN117" s="319" t="e">
        <f>SUM(Tabla16[AÑO 4 7])</f>
        <v>#N/A</v>
      </c>
      <c r="EO117" s="319" t="e">
        <f>SUM(Tabla16[AÑO 5 7])</f>
        <v>#N/A</v>
      </c>
      <c r="FE117" s="319" t="e">
        <f>SUM(Tabla16[AÑO 1 8])</f>
        <v>#N/A</v>
      </c>
      <c r="FF117" s="319" t="e">
        <f>SUM(Tabla16[AÑO 2 8])</f>
        <v>#N/A</v>
      </c>
      <c r="FG117" s="319" t="e">
        <f>SUM(Tabla16[AÑO 3 8])</f>
        <v>#N/A</v>
      </c>
      <c r="FH117" s="319" t="e">
        <f>SUM(Tabla16[AÑO 4 8])</f>
        <v>#N/A</v>
      </c>
      <c r="FI117" s="319" t="e">
        <f>SUM(Tabla16[AÑO 5 8])</f>
        <v>#N/A</v>
      </c>
      <c r="FY117" s="319" t="e">
        <f>SUM(Tabla16[AÑO 1 9])</f>
        <v>#N/A</v>
      </c>
      <c r="FZ117" s="319" t="e">
        <f>SUM(Tabla16[AÑO 2 9])</f>
        <v>#N/A</v>
      </c>
      <c r="GA117" s="319" t="e">
        <f>SUM(Tabla16[AÑO 3 9])</f>
        <v>#N/A</v>
      </c>
      <c r="GB117" s="319" t="e">
        <f>SUM(Tabla16[AÑO 4 9])</f>
        <v>#N/A</v>
      </c>
      <c r="GC117" s="319" t="e">
        <f>SUM(Tabla16[AÑO 5 9])</f>
        <v>#N/A</v>
      </c>
      <c r="GS117" s="319" t="e">
        <f>SUM(Tabla16[AÑO 1 10])</f>
        <v>#N/A</v>
      </c>
      <c r="GT117" s="319" t="e">
        <f>SUM(Tabla16[AÑO 2 10])</f>
        <v>#N/A</v>
      </c>
      <c r="GU117" s="319" t="e">
        <f>SUM(Tabla16[AÑO 3 10])</f>
        <v>#N/A</v>
      </c>
      <c r="GV117" s="319" t="e">
        <f>SUM(Tabla16[AÑO 4 10])</f>
        <v>#N/A</v>
      </c>
      <c r="GW117" s="319" t="e">
        <f>SUM(Tabla16[AÑO 5 10])</f>
        <v>#N/A</v>
      </c>
    </row>
    <row r="118" spans="2:205" s="7" customFormat="1" ht="15.75" x14ac:dyDescent="0.25">
      <c r="C118" s="318"/>
      <c r="D118" s="318"/>
      <c r="U118" s="319"/>
      <c r="V118" s="319"/>
      <c r="W118" s="319"/>
      <c r="X118" s="319"/>
      <c r="Y118" s="319"/>
      <c r="AO118" s="319"/>
      <c r="AP118" s="319"/>
      <c r="AQ118" s="319"/>
      <c r="AR118" s="319"/>
      <c r="AS118" s="319"/>
      <c r="BI118" s="319"/>
      <c r="BJ118" s="319"/>
      <c r="BK118" s="319"/>
      <c r="BL118" s="319"/>
      <c r="BM118" s="319"/>
      <c r="CC118" s="319"/>
      <c r="CD118" s="319"/>
      <c r="CE118" s="319"/>
      <c r="CF118" s="319"/>
      <c r="CG118" s="319"/>
      <c r="CW118" s="319"/>
      <c r="CX118" s="319"/>
      <c r="CY118" s="319"/>
      <c r="CZ118" s="319"/>
      <c r="DA118" s="319"/>
      <c r="DQ118" s="319"/>
      <c r="DR118" s="319"/>
      <c r="DS118" s="319"/>
      <c r="DT118" s="319"/>
      <c r="DU118" s="319"/>
      <c r="EK118" s="319"/>
      <c r="EL118" s="319"/>
      <c r="EM118" s="319"/>
      <c r="EN118" s="319"/>
      <c r="EO118" s="319"/>
      <c r="FE118" s="319"/>
      <c r="FF118" s="319"/>
      <c r="FG118" s="319"/>
      <c r="FH118" s="319"/>
      <c r="FI118" s="319"/>
      <c r="FY118" s="319"/>
      <c r="FZ118" s="319"/>
      <c r="GA118" s="319"/>
      <c r="GB118" s="319"/>
      <c r="GC118" s="319"/>
      <c r="GS118" s="319"/>
      <c r="GT118" s="319"/>
      <c r="GU118" s="319"/>
      <c r="GV118" s="319"/>
      <c r="GW118" s="319"/>
    </row>
    <row r="119" spans="2:205" x14ac:dyDescent="0.25">
      <c r="C119" s="282"/>
      <c r="D119" s="282"/>
    </row>
    <row r="120" spans="2:205" x14ac:dyDescent="0.25">
      <c r="C120" s="282"/>
      <c r="D120" s="282"/>
    </row>
    <row r="121" spans="2:205" x14ac:dyDescent="0.25">
      <c r="C121" s="282"/>
      <c r="D121" s="282"/>
    </row>
    <row r="122" spans="2:205" x14ac:dyDescent="0.25">
      <c r="C122" s="282"/>
      <c r="D122" s="282"/>
    </row>
    <row r="123" spans="2:205" x14ac:dyDescent="0.25">
      <c r="C123" s="282"/>
      <c r="D123" s="282"/>
    </row>
    <row r="124" spans="2:205" x14ac:dyDescent="0.25">
      <c r="C124" s="282"/>
      <c r="D124" s="282"/>
    </row>
    <row r="125" spans="2:205" ht="15.75" x14ac:dyDescent="0.25">
      <c r="B125" s="10" t="s">
        <v>702</v>
      </c>
      <c r="C125" s="307" t="s">
        <v>110</v>
      </c>
      <c r="D125" s="282"/>
    </row>
    <row r="126" spans="2:205" ht="15.75" x14ac:dyDescent="0.25">
      <c r="B126" s="284"/>
      <c r="C126" s="304"/>
      <c r="D126" s="282"/>
    </row>
    <row r="127" spans="2:205" ht="15.75" x14ac:dyDescent="0.25">
      <c r="B127" s="287"/>
      <c r="C127" s="305"/>
      <c r="D127" s="282"/>
    </row>
    <row r="128" spans="2:205" ht="15.75" x14ac:dyDescent="0.25">
      <c r="B128" s="287"/>
      <c r="C128" s="305"/>
      <c r="D128" s="282"/>
    </row>
    <row r="129" spans="2:15" ht="15.75" x14ac:dyDescent="0.25">
      <c r="B129" s="287"/>
      <c r="C129" s="305"/>
      <c r="D129" s="282"/>
    </row>
    <row r="130" spans="2:15" ht="15.75" x14ac:dyDescent="0.25">
      <c r="B130" s="287"/>
      <c r="C130" s="305"/>
      <c r="D130" s="282"/>
    </row>
    <row r="131" spans="2:15" ht="15.75" x14ac:dyDescent="0.25">
      <c r="B131" s="287"/>
      <c r="C131" s="305"/>
      <c r="D131" s="282"/>
    </row>
    <row r="132" spans="2:15" ht="15.75" x14ac:dyDescent="0.25">
      <c r="B132" s="287"/>
      <c r="C132" s="305"/>
      <c r="D132" s="282"/>
    </row>
    <row r="133" spans="2:15" ht="15.75" x14ac:dyDescent="0.25">
      <c r="B133" s="287"/>
      <c r="C133" s="305"/>
      <c r="D133" s="282"/>
    </row>
    <row r="134" spans="2:15" ht="15.75" x14ac:dyDescent="0.25">
      <c r="B134" s="287"/>
      <c r="C134" s="305"/>
      <c r="D134" s="282"/>
    </row>
    <row r="135" spans="2:15" ht="15.75" x14ac:dyDescent="0.25">
      <c r="B135" s="289"/>
      <c r="C135" s="306"/>
      <c r="D135" s="282"/>
    </row>
    <row r="136" spans="2:15" x14ac:dyDescent="0.25">
      <c r="C136" s="282"/>
      <c r="D136" s="282"/>
    </row>
    <row r="137" spans="2:15" x14ac:dyDescent="0.25">
      <c r="C137" s="282"/>
      <c r="D137" s="282"/>
    </row>
    <row r="138" spans="2:15" x14ac:dyDescent="0.25">
      <c r="C138" s="282"/>
      <c r="D138" s="282"/>
    </row>
    <row r="139" spans="2:15" x14ac:dyDescent="0.25">
      <c r="C139" s="282"/>
      <c r="D139" s="282"/>
    </row>
    <row r="140" spans="2:15" x14ac:dyDescent="0.25">
      <c r="C140" s="282"/>
      <c r="D140" s="282"/>
    </row>
    <row r="141" spans="2:15" ht="15.75" x14ac:dyDescent="0.25">
      <c r="C141" s="282"/>
      <c r="D141" s="282"/>
      <c r="F141" s="591" t="s">
        <v>524</v>
      </c>
      <c r="G141" s="591"/>
      <c r="H141" s="591"/>
      <c r="I141" s="591"/>
      <c r="J141" s="591"/>
      <c r="K141" s="591"/>
      <c r="L141" s="591"/>
      <c r="M141" s="591"/>
      <c r="N141" s="591"/>
      <c r="O141" s="591"/>
    </row>
    <row r="142" spans="2:15" ht="15.75" x14ac:dyDescent="0.25">
      <c r="C142" s="307" t="s">
        <v>112</v>
      </c>
      <c r="D142" s="307" t="s">
        <v>113</v>
      </c>
      <c r="E142" s="39"/>
      <c r="F142" s="313" cm="1">
        <f t="array" ref="F142:O142">TRANSPOSE(Tabla13[COSTO INDIRECTO])</f>
        <v>0</v>
      </c>
      <c r="G142" s="313">
        <v>0</v>
      </c>
      <c r="H142" s="313">
        <v>0</v>
      </c>
      <c r="I142" s="313">
        <v>0</v>
      </c>
      <c r="J142" s="313">
        <v>0</v>
      </c>
      <c r="K142" s="313">
        <v>0</v>
      </c>
      <c r="L142" s="313">
        <v>0</v>
      </c>
      <c r="M142" s="313">
        <v>0</v>
      </c>
      <c r="N142" s="313">
        <v>0</v>
      </c>
      <c r="O142" s="313">
        <v>0</v>
      </c>
    </row>
    <row r="143" spans="2:15" ht="15.75" x14ac:dyDescent="0.25">
      <c r="C143" s="511"/>
      <c r="D143" s="511" t="e">
        <f>VLOOKUP(Tabla14[[#This Row],[CÓDIGO DEL PRODUCTO Y/O SERVICIO ]],Tabla3[],2,0)</f>
        <v>#N/A</v>
      </c>
      <c r="E143" s="80"/>
      <c r="F143" s="51"/>
      <c r="G143" s="51"/>
      <c r="H143" s="51"/>
      <c r="I143" s="51"/>
      <c r="J143" s="51"/>
      <c r="K143" s="51"/>
      <c r="L143" s="51"/>
      <c r="M143" s="51"/>
      <c r="N143" s="51"/>
      <c r="O143" s="51"/>
    </row>
    <row r="144" spans="2:15" x14ac:dyDescent="0.25">
      <c r="C144" s="282"/>
      <c r="D144" s="282"/>
    </row>
    <row r="145" spans="3:210" x14ac:dyDescent="0.25">
      <c r="C145" s="282"/>
      <c r="D145" s="282"/>
    </row>
    <row r="146" spans="3:210" x14ac:dyDescent="0.25">
      <c r="C146" s="282"/>
      <c r="D146" s="282"/>
    </row>
    <row r="147" spans="3:210" x14ac:dyDescent="0.25">
      <c r="C147" s="282"/>
      <c r="D147" s="282"/>
    </row>
    <row r="148" spans="3:210" x14ac:dyDescent="0.25">
      <c r="C148" s="282"/>
      <c r="D148" s="282"/>
    </row>
    <row r="149" spans="3:210" x14ac:dyDescent="0.25">
      <c r="C149" s="282"/>
      <c r="D149" s="282"/>
    </row>
    <row r="150" spans="3:210" x14ac:dyDescent="0.25">
      <c r="C150" s="282"/>
      <c r="D150" s="282"/>
    </row>
    <row r="151" spans="3:210" x14ac:dyDescent="0.25">
      <c r="C151" s="282"/>
      <c r="D151" s="282"/>
    </row>
    <row r="152" spans="3:210" x14ac:dyDescent="0.25">
      <c r="C152" s="282"/>
      <c r="D152" s="282"/>
    </row>
    <row r="153" spans="3:210" x14ac:dyDescent="0.25">
      <c r="C153" s="282"/>
      <c r="D153" s="282"/>
    </row>
    <row r="154" spans="3:210" x14ac:dyDescent="0.25">
      <c r="C154" s="282"/>
      <c r="D154" s="282"/>
    </row>
    <row r="155" spans="3:210" x14ac:dyDescent="0.25">
      <c r="C155" s="282"/>
      <c r="D155" s="282"/>
    </row>
    <row r="156" spans="3:210" x14ac:dyDescent="0.25">
      <c r="C156" s="282"/>
      <c r="D156" s="282"/>
    </row>
    <row r="157" spans="3:210" ht="15.75" thickBot="1" x14ac:dyDescent="0.3">
      <c r="C157" s="282"/>
      <c r="D157" s="282"/>
    </row>
    <row r="158" spans="3:210" ht="16.5" thickBot="1" x14ac:dyDescent="0.3">
      <c r="C158" s="282"/>
      <c r="D158" s="282"/>
      <c r="F158" s="565">
        <f>B126</f>
        <v>0</v>
      </c>
      <c r="G158" s="566"/>
      <c r="H158" s="566"/>
      <c r="I158" s="566"/>
      <c r="J158" s="566"/>
      <c r="K158" s="566"/>
      <c r="L158" s="566"/>
      <c r="M158" s="566"/>
      <c r="N158" s="566"/>
      <c r="O158" s="566"/>
      <c r="P158" s="566"/>
      <c r="Q158" s="566"/>
      <c r="R158" s="566"/>
      <c r="S158" s="566"/>
      <c r="T158" s="566"/>
      <c r="U158" s="566"/>
      <c r="V158" s="566"/>
      <c r="W158" s="566"/>
      <c r="X158" s="566"/>
      <c r="Y158" s="567"/>
      <c r="Z158" s="569">
        <f>B127</f>
        <v>0</v>
      </c>
      <c r="AA158" s="570"/>
      <c r="AB158" s="570"/>
      <c r="AC158" s="570"/>
      <c r="AD158" s="570"/>
      <c r="AE158" s="570"/>
      <c r="AF158" s="570"/>
      <c r="AG158" s="570"/>
      <c r="AH158" s="570"/>
      <c r="AI158" s="570"/>
      <c r="AJ158" s="570"/>
      <c r="AK158" s="570"/>
      <c r="AL158" s="570"/>
      <c r="AM158" s="570"/>
      <c r="AN158" s="570"/>
      <c r="AO158" s="570"/>
      <c r="AP158" s="570"/>
      <c r="AQ158" s="570"/>
      <c r="AR158" s="570"/>
      <c r="AS158" s="571"/>
      <c r="AT158" s="573">
        <f>B128</f>
        <v>0</v>
      </c>
      <c r="AU158" s="574"/>
      <c r="AV158" s="574"/>
      <c r="AW158" s="574"/>
      <c r="AX158" s="574"/>
      <c r="AY158" s="574"/>
      <c r="AZ158" s="574"/>
      <c r="BA158" s="574"/>
      <c r="BB158" s="574"/>
      <c r="BC158" s="574"/>
      <c r="BD158" s="574"/>
      <c r="BE158" s="574"/>
      <c r="BF158" s="574"/>
      <c r="BG158" s="574"/>
      <c r="BH158" s="574"/>
      <c r="BI158" s="574"/>
      <c r="BJ158" s="574"/>
      <c r="BK158" s="574"/>
      <c r="BL158" s="574"/>
      <c r="BM158" s="575"/>
      <c r="BN158" s="569">
        <f>B129</f>
        <v>0</v>
      </c>
      <c r="BO158" s="570"/>
      <c r="BP158" s="570"/>
      <c r="BQ158" s="570"/>
      <c r="BR158" s="570"/>
      <c r="BS158" s="570"/>
      <c r="BT158" s="570"/>
      <c r="BU158" s="570"/>
      <c r="BV158" s="570"/>
      <c r="BW158" s="570"/>
      <c r="BX158" s="570"/>
      <c r="BY158" s="570"/>
      <c r="BZ158" s="570"/>
      <c r="CA158" s="570"/>
      <c r="CB158" s="570"/>
      <c r="CC158" s="570"/>
      <c r="CD158" s="570"/>
      <c r="CE158" s="570"/>
      <c r="CF158" s="570"/>
      <c r="CG158" s="571"/>
      <c r="CH158" s="565">
        <f>B130</f>
        <v>0</v>
      </c>
      <c r="CI158" s="566"/>
      <c r="CJ158" s="566"/>
      <c r="CK158" s="566"/>
      <c r="CL158" s="566"/>
      <c r="CM158" s="566"/>
      <c r="CN158" s="566"/>
      <c r="CO158" s="566"/>
      <c r="CP158" s="566"/>
      <c r="CQ158" s="566"/>
      <c r="CR158" s="566"/>
      <c r="CS158" s="566"/>
      <c r="CT158" s="566"/>
      <c r="CU158" s="566"/>
      <c r="CV158" s="566"/>
      <c r="CW158" s="566"/>
      <c r="CX158" s="566"/>
      <c r="CY158" s="566"/>
      <c r="CZ158" s="566"/>
      <c r="DA158" s="567"/>
      <c r="DB158" s="569">
        <f>B131</f>
        <v>0</v>
      </c>
      <c r="DC158" s="570"/>
      <c r="DD158" s="570"/>
      <c r="DE158" s="570"/>
      <c r="DF158" s="570"/>
      <c r="DG158" s="570"/>
      <c r="DH158" s="570"/>
      <c r="DI158" s="570"/>
      <c r="DJ158" s="570"/>
      <c r="DK158" s="570"/>
      <c r="DL158" s="570"/>
      <c r="DM158" s="570"/>
      <c r="DN158" s="570"/>
      <c r="DO158" s="570"/>
      <c r="DP158" s="570"/>
      <c r="DQ158" s="570"/>
      <c r="DR158" s="570"/>
      <c r="DS158" s="570"/>
      <c r="DT158" s="570"/>
      <c r="DU158" s="571"/>
      <c r="DV158" s="565">
        <f>B132</f>
        <v>0</v>
      </c>
      <c r="DW158" s="566"/>
      <c r="DX158" s="566"/>
      <c r="DY158" s="566"/>
      <c r="DZ158" s="566"/>
      <c r="EA158" s="566"/>
      <c r="EB158" s="566"/>
      <c r="EC158" s="566"/>
      <c r="ED158" s="566"/>
      <c r="EE158" s="566"/>
      <c r="EF158" s="566"/>
      <c r="EG158" s="566"/>
      <c r="EH158" s="566"/>
      <c r="EI158" s="566"/>
      <c r="EJ158" s="566"/>
      <c r="EK158" s="566"/>
      <c r="EL158" s="566"/>
      <c r="EM158" s="566"/>
      <c r="EN158" s="566"/>
      <c r="EO158" s="567"/>
      <c r="EP158" s="569">
        <f>B133</f>
        <v>0</v>
      </c>
      <c r="EQ158" s="570"/>
      <c r="ER158" s="570"/>
      <c r="ES158" s="570"/>
      <c r="ET158" s="570"/>
      <c r="EU158" s="570"/>
      <c r="EV158" s="570"/>
      <c r="EW158" s="570"/>
      <c r="EX158" s="570"/>
      <c r="EY158" s="570"/>
      <c r="EZ158" s="570"/>
      <c r="FA158" s="570"/>
      <c r="FB158" s="570"/>
      <c r="FC158" s="570"/>
      <c r="FD158" s="570"/>
      <c r="FE158" s="570"/>
      <c r="FF158" s="570"/>
      <c r="FG158" s="570"/>
      <c r="FH158" s="570"/>
      <c r="FI158" s="571"/>
      <c r="FJ158" s="565">
        <f>B134</f>
        <v>0</v>
      </c>
      <c r="FK158" s="566"/>
      <c r="FL158" s="566"/>
      <c r="FM158" s="566"/>
      <c r="FN158" s="566"/>
      <c r="FO158" s="566"/>
      <c r="FP158" s="566"/>
      <c r="FQ158" s="566"/>
      <c r="FR158" s="566"/>
      <c r="FS158" s="566"/>
      <c r="FT158" s="566"/>
      <c r="FU158" s="566"/>
      <c r="FV158" s="566"/>
      <c r="FW158" s="566"/>
      <c r="FX158" s="566"/>
      <c r="FY158" s="566"/>
      <c r="FZ158" s="566"/>
      <c r="GA158" s="566"/>
      <c r="GB158" s="566"/>
      <c r="GC158" s="567"/>
      <c r="GD158" s="569">
        <f>B135</f>
        <v>0</v>
      </c>
      <c r="GE158" s="570"/>
      <c r="GF158" s="570"/>
      <c r="GG158" s="570"/>
      <c r="GH158" s="570"/>
      <c r="GI158" s="570"/>
      <c r="GJ158" s="570"/>
      <c r="GK158" s="570"/>
      <c r="GL158" s="570"/>
      <c r="GM158" s="570"/>
      <c r="GN158" s="570"/>
      <c r="GO158" s="570"/>
      <c r="GP158" s="570"/>
      <c r="GQ158" s="570"/>
      <c r="GR158" s="570"/>
      <c r="GS158" s="570"/>
      <c r="GT158" s="570"/>
      <c r="GU158" s="570"/>
      <c r="GV158" s="570"/>
      <c r="GW158" s="570"/>
      <c r="GX158" s="642" t="s">
        <v>114</v>
      </c>
      <c r="GY158" s="642"/>
      <c r="GZ158" s="642"/>
      <c r="HA158" s="642"/>
      <c r="HB158" s="642"/>
    </row>
    <row r="159" spans="3:210" ht="15.75" x14ac:dyDescent="0.25">
      <c r="F159" s="314"/>
      <c r="G159" s="308"/>
      <c r="H159" s="308"/>
      <c r="I159" s="308"/>
      <c r="J159" s="308"/>
      <c r="K159" s="308"/>
      <c r="L159" s="308"/>
      <c r="M159" s="308"/>
      <c r="N159" s="308"/>
      <c r="O159" s="308"/>
      <c r="P159" s="564" t="s">
        <v>115</v>
      </c>
      <c r="Q159" s="564"/>
      <c r="R159" s="564"/>
      <c r="S159" s="564"/>
      <c r="T159" s="564"/>
      <c r="U159" s="564" t="s">
        <v>116</v>
      </c>
      <c r="V159" s="564"/>
      <c r="W159" s="564"/>
      <c r="X159" s="564"/>
      <c r="Y159" s="564"/>
      <c r="Z159" s="309"/>
      <c r="AA159" s="309"/>
      <c r="AB159" s="309"/>
      <c r="AC159" s="309"/>
      <c r="AD159" s="309"/>
      <c r="AE159" s="309"/>
      <c r="AF159" s="309"/>
      <c r="AG159" s="309"/>
      <c r="AH159" s="309"/>
      <c r="AI159" s="309"/>
      <c r="AJ159" s="568" t="s">
        <v>115</v>
      </c>
      <c r="AK159" s="568"/>
      <c r="AL159" s="568"/>
      <c r="AM159" s="568"/>
      <c r="AN159" s="568"/>
      <c r="AO159" s="568" t="s">
        <v>116</v>
      </c>
      <c r="AP159" s="568"/>
      <c r="AQ159" s="568"/>
      <c r="AR159" s="568"/>
      <c r="AS159" s="568"/>
      <c r="AT159" s="315"/>
      <c r="AU159" s="315"/>
      <c r="AV159" s="315"/>
      <c r="AW159" s="315"/>
      <c r="AX159" s="315"/>
      <c r="AY159" s="315"/>
      <c r="AZ159" s="315"/>
      <c r="BA159" s="315"/>
      <c r="BB159" s="315"/>
      <c r="BC159" s="315"/>
      <c r="BD159" s="572" t="s">
        <v>115</v>
      </c>
      <c r="BE159" s="572"/>
      <c r="BF159" s="572"/>
      <c r="BG159" s="572"/>
      <c r="BH159" s="572"/>
      <c r="BI159" s="572" t="s">
        <v>116</v>
      </c>
      <c r="BJ159" s="572"/>
      <c r="BK159" s="572"/>
      <c r="BL159" s="572"/>
      <c r="BM159" s="572"/>
      <c r="BN159" s="309"/>
      <c r="BO159" s="309"/>
      <c r="BP159" s="309"/>
      <c r="BQ159" s="309"/>
      <c r="BR159" s="309"/>
      <c r="BS159" s="309"/>
      <c r="BT159" s="309"/>
      <c r="BU159" s="309"/>
      <c r="BV159" s="309"/>
      <c r="BW159" s="309"/>
      <c r="BX159" s="568" t="s">
        <v>115</v>
      </c>
      <c r="BY159" s="568"/>
      <c r="BZ159" s="568"/>
      <c r="CA159" s="568"/>
      <c r="CB159" s="568"/>
      <c r="CC159" s="568" t="s">
        <v>116</v>
      </c>
      <c r="CD159" s="568"/>
      <c r="CE159" s="568"/>
      <c r="CF159" s="568"/>
      <c r="CG159" s="568"/>
      <c r="CH159" s="308"/>
      <c r="CI159" s="308"/>
      <c r="CJ159" s="308"/>
      <c r="CK159" s="308"/>
      <c r="CL159" s="308"/>
      <c r="CM159" s="308"/>
      <c r="CN159" s="308"/>
      <c r="CO159" s="308"/>
      <c r="CP159" s="308"/>
      <c r="CQ159" s="308"/>
      <c r="CR159" s="564" t="s">
        <v>115</v>
      </c>
      <c r="CS159" s="564"/>
      <c r="CT159" s="564"/>
      <c r="CU159" s="564"/>
      <c r="CV159" s="564"/>
      <c r="CW159" s="564" t="s">
        <v>116</v>
      </c>
      <c r="CX159" s="564"/>
      <c r="CY159" s="564"/>
      <c r="CZ159" s="564"/>
      <c r="DA159" s="564"/>
      <c r="DB159" s="309"/>
      <c r="DC159" s="309"/>
      <c r="DD159" s="309"/>
      <c r="DE159" s="309"/>
      <c r="DF159" s="309"/>
      <c r="DG159" s="309"/>
      <c r="DH159" s="309"/>
      <c r="DI159" s="309"/>
      <c r="DJ159" s="309"/>
      <c r="DK159" s="309"/>
      <c r="DL159" s="568" t="s">
        <v>115</v>
      </c>
      <c r="DM159" s="568"/>
      <c r="DN159" s="568"/>
      <c r="DO159" s="568"/>
      <c r="DP159" s="568"/>
      <c r="DQ159" s="568" t="s">
        <v>116</v>
      </c>
      <c r="DR159" s="568"/>
      <c r="DS159" s="568"/>
      <c r="DT159" s="568"/>
      <c r="DU159" s="568"/>
      <c r="DV159" s="308"/>
      <c r="DW159" s="308"/>
      <c r="DX159" s="308"/>
      <c r="DY159" s="308"/>
      <c r="DZ159" s="308"/>
      <c r="EA159" s="308"/>
      <c r="EB159" s="308"/>
      <c r="EC159" s="308"/>
      <c r="ED159" s="308"/>
      <c r="EE159" s="308"/>
      <c r="EF159" s="564" t="s">
        <v>115</v>
      </c>
      <c r="EG159" s="564"/>
      <c r="EH159" s="564"/>
      <c r="EI159" s="564"/>
      <c r="EJ159" s="564"/>
      <c r="EK159" s="564" t="s">
        <v>116</v>
      </c>
      <c r="EL159" s="564"/>
      <c r="EM159" s="564"/>
      <c r="EN159" s="564"/>
      <c r="EO159" s="564"/>
      <c r="EP159" s="309"/>
      <c r="EQ159" s="309"/>
      <c r="ER159" s="309"/>
      <c r="ES159" s="309"/>
      <c r="ET159" s="309"/>
      <c r="EU159" s="309"/>
      <c r="EV159" s="309"/>
      <c r="EW159" s="309"/>
      <c r="EX159" s="309"/>
      <c r="EY159" s="309"/>
      <c r="EZ159" s="568" t="s">
        <v>115</v>
      </c>
      <c r="FA159" s="568"/>
      <c r="FB159" s="568"/>
      <c r="FC159" s="568"/>
      <c r="FD159" s="568"/>
      <c r="FE159" s="568" t="s">
        <v>116</v>
      </c>
      <c r="FF159" s="568"/>
      <c r="FG159" s="568"/>
      <c r="FH159" s="568"/>
      <c r="FI159" s="568"/>
      <c r="FJ159" s="308"/>
      <c r="FK159" s="308"/>
      <c r="FL159" s="308"/>
      <c r="FM159" s="308"/>
      <c r="FN159" s="308"/>
      <c r="FO159" s="308"/>
      <c r="FP159" s="308"/>
      <c r="FQ159" s="308"/>
      <c r="FR159" s="308"/>
      <c r="FS159" s="308"/>
      <c r="FT159" s="564" t="s">
        <v>115</v>
      </c>
      <c r="FU159" s="564"/>
      <c r="FV159" s="564"/>
      <c r="FW159" s="564"/>
      <c r="FX159" s="564"/>
      <c r="FY159" s="564" t="s">
        <v>116</v>
      </c>
      <c r="FZ159" s="564"/>
      <c r="GA159" s="564"/>
      <c r="GB159" s="564"/>
      <c r="GC159" s="564"/>
      <c r="GD159" s="309"/>
      <c r="GE159" s="309"/>
      <c r="GF159" s="309"/>
      <c r="GG159" s="309"/>
      <c r="GH159" s="309"/>
      <c r="GI159" s="309"/>
      <c r="GJ159" s="309"/>
      <c r="GK159" s="309"/>
      <c r="GL159" s="309"/>
      <c r="GM159" s="309"/>
      <c r="GN159" s="568" t="s">
        <v>117</v>
      </c>
      <c r="GO159" s="568"/>
      <c r="GP159" s="568"/>
      <c r="GQ159" s="568"/>
      <c r="GR159" s="568"/>
      <c r="GS159" s="568" t="s">
        <v>116</v>
      </c>
      <c r="GT159" s="568"/>
      <c r="GU159" s="568"/>
      <c r="GV159" s="568"/>
      <c r="GW159" s="644"/>
      <c r="GX159" s="642"/>
      <c r="GY159" s="642"/>
      <c r="GZ159" s="642"/>
      <c r="HA159" s="642"/>
      <c r="HB159" s="642"/>
    </row>
    <row r="160" spans="3:210" ht="45" customHeight="1" x14ac:dyDescent="0.25">
      <c r="C160" s="307" t="s">
        <v>112</v>
      </c>
      <c r="D160" s="307" t="s">
        <v>113</v>
      </c>
      <c r="E160" s="303" t="s">
        <v>119</v>
      </c>
      <c r="F160" s="310" t="s">
        <v>703</v>
      </c>
      <c r="G160" s="310" t="s">
        <v>526</v>
      </c>
      <c r="H160" s="310" t="s">
        <v>704</v>
      </c>
      <c r="I160" s="310" t="s">
        <v>705</v>
      </c>
      <c r="J160" s="310" t="s">
        <v>706</v>
      </c>
      <c r="K160" s="310" t="s">
        <v>707</v>
      </c>
      <c r="L160" s="310" t="s">
        <v>531</v>
      </c>
      <c r="M160" s="310" t="s">
        <v>708</v>
      </c>
      <c r="N160" s="310" t="s">
        <v>709</v>
      </c>
      <c r="O160" s="310" t="s">
        <v>710</v>
      </c>
      <c r="P160" s="310" t="s">
        <v>130</v>
      </c>
      <c r="Q160" s="310" t="s">
        <v>711</v>
      </c>
      <c r="R160" s="310" t="s">
        <v>712</v>
      </c>
      <c r="S160" s="310" t="s">
        <v>713</v>
      </c>
      <c r="T160" s="310" t="s">
        <v>714</v>
      </c>
      <c r="U160" s="310" t="s">
        <v>539</v>
      </c>
      <c r="V160" s="310" t="s">
        <v>715</v>
      </c>
      <c r="W160" s="310" t="s">
        <v>716</v>
      </c>
      <c r="X160" s="310" t="s">
        <v>717</v>
      </c>
      <c r="Y160" s="310" t="s">
        <v>718</v>
      </c>
      <c r="Z160" s="311" t="s">
        <v>138</v>
      </c>
      <c r="AA160" s="311" t="s">
        <v>719</v>
      </c>
      <c r="AB160" s="311" t="s">
        <v>720</v>
      </c>
      <c r="AC160" s="311" t="s">
        <v>721</v>
      </c>
      <c r="AD160" s="311" t="s">
        <v>722</v>
      </c>
      <c r="AE160" s="311" t="s">
        <v>723</v>
      </c>
      <c r="AF160" s="311" t="s">
        <v>549</v>
      </c>
      <c r="AG160" s="311" t="s">
        <v>550</v>
      </c>
      <c r="AH160" s="311" t="s">
        <v>551</v>
      </c>
      <c r="AI160" s="311" t="s">
        <v>724</v>
      </c>
      <c r="AJ160" s="311" t="s">
        <v>148</v>
      </c>
      <c r="AK160" s="311" t="s">
        <v>554</v>
      </c>
      <c r="AL160" s="311" t="s">
        <v>725</v>
      </c>
      <c r="AM160" s="311" t="s">
        <v>726</v>
      </c>
      <c r="AN160" s="311" t="s">
        <v>727</v>
      </c>
      <c r="AO160" s="311" t="s">
        <v>728</v>
      </c>
      <c r="AP160" s="311" t="s">
        <v>729</v>
      </c>
      <c r="AQ160" s="311" t="s">
        <v>730</v>
      </c>
      <c r="AR160" s="311" t="s">
        <v>731</v>
      </c>
      <c r="AS160" s="311" t="s">
        <v>732</v>
      </c>
      <c r="AT160" s="310" t="s">
        <v>158</v>
      </c>
      <c r="AU160" s="310" t="s">
        <v>733</v>
      </c>
      <c r="AV160" s="310" t="s">
        <v>160</v>
      </c>
      <c r="AW160" s="310" t="s">
        <v>565</v>
      </c>
      <c r="AX160" s="310" t="s">
        <v>566</v>
      </c>
      <c r="AY160" s="310" t="s">
        <v>734</v>
      </c>
      <c r="AZ160" s="310" t="s">
        <v>164</v>
      </c>
      <c r="BA160" s="310" t="s">
        <v>735</v>
      </c>
      <c r="BB160" s="310" t="s">
        <v>166</v>
      </c>
      <c r="BC160" s="310" t="s">
        <v>736</v>
      </c>
      <c r="BD160" s="310" t="s">
        <v>168</v>
      </c>
      <c r="BE160" s="310" t="s">
        <v>737</v>
      </c>
      <c r="BF160" s="310" t="s">
        <v>738</v>
      </c>
      <c r="BG160" s="310" t="s">
        <v>739</v>
      </c>
      <c r="BH160" s="310" t="s">
        <v>740</v>
      </c>
      <c r="BI160" s="310" t="s">
        <v>741</v>
      </c>
      <c r="BJ160" s="310" t="s">
        <v>742</v>
      </c>
      <c r="BK160" s="310" t="s">
        <v>743</v>
      </c>
      <c r="BL160" s="310" t="s">
        <v>744</v>
      </c>
      <c r="BM160" s="310" t="s">
        <v>745</v>
      </c>
      <c r="BN160" s="311" t="s">
        <v>746</v>
      </c>
      <c r="BO160" s="311" t="s">
        <v>581</v>
      </c>
      <c r="BP160" s="311" t="s">
        <v>180</v>
      </c>
      <c r="BQ160" s="311" t="s">
        <v>747</v>
      </c>
      <c r="BR160" s="311" t="s">
        <v>182</v>
      </c>
      <c r="BS160" s="311" t="s">
        <v>748</v>
      </c>
      <c r="BT160" s="311" t="s">
        <v>749</v>
      </c>
      <c r="BU160" s="311" t="s">
        <v>750</v>
      </c>
      <c r="BV160" s="311" t="s">
        <v>751</v>
      </c>
      <c r="BW160" s="311" t="s">
        <v>752</v>
      </c>
      <c r="BX160" s="311" t="s">
        <v>587</v>
      </c>
      <c r="BY160" s="311" t="s">
        <v>753</v>
      </c>
      <c r="BZ160" s="311" t="s">
        <v>754</v>
      </c>
      <c r="CA160" s="311" t="s">
        <v>755</v>
      </c>
      <c r="CB160" s="311" t="s">
        <v>756</v>
      </c>
      <c r="CC160" s="311" t="s">
        <v>757</v>
      </c>
      <c r="CD160" s="311" t="s">
        <v>758</v>
      </c>
      <c r="CE160" s="311" t="s">
        <v>759</v>
      </c>
      <c r="CF160" s="311" t="s">
        <v>595</v>
      </c>
      <c r="CG160" s="311" t="s">
        <v>760</v>
      </c>
      <c r="CH160" s="310" t="s">
        <v>198</v>
      </c>
      <c r="CI160" s="310" t="s">
        <v>597</v>
      </c>
      <c r="CJ160" s="310" t="s">
        <v>761</v>
      </c>
      <c r="CK160" s="310" t="s">
        <v>598</v>
      </c>
      <c r="CL160" s="310" t="s">
        <v>762</v>
      </c>
      <c r="CM160" s="310" t="s">
        <v>763</v>
      </c>
      <c r="CN160" s="310" t="s">
        <v>764</v>
      </c>
      <c r="CO160" s="310" t="s">
        <v>765</v>
      </c>
      <c r="CP160" s="310" t="s">
        <v>206</v>
      </c>
      <c r="CQ160" s="310" t="s">
        <v>766</v>
      </c>
      <c r="CR160" s="310" t="s">
        <v>208</v>
      </c>
      <c r="CS160" s="310" t="s">
        <v>767</v>
      </c>
      <c r="CT160" s="310" t="s">
        <v>768</v>
      </c>
      <c r="CU160" s="310" t="s">
        <v>769</v>
      </c>
      <c r="CV160" s="310" t="s">
        <v>770</v>
      </c>
      <c r="CW160" s="310" t="s">
        <v>609</v>
      </c>
      <c r="CX160" s="310" t="s">
        <v>610</v>
      </c>
      <c r="CY160" s="310" t="s">
        <v>771</v>
      </c>
      <c r="CZ160" s="310" t="s">
        <v>612</v>
      </c>
      <c r="DA160" s="310" t="s">
        <v>772</v>
      </c>
      <c r="DB160" s="311" t="s">
        <v>218</v>
      </c>
      <c r="DC160" s="311" t="s">
        <v>773</v>
      </c>
      <c r="DD160" s="311" t="s">
        <v>220</v>
      </c>
      <c r="DE160" s="311" t="s">
        <v>616</v>
      </c>
      <c r="DF160" s="311" t="s">
        <v>617</v>
      </c>
      <c r="DG160" s="311" t="s">
        <v>774</v>
      </c>
      <c r="DH160" s="311" t="s">
        <v>224</v>
      </c>
      <c r="DI160" s="311" t="s">
        <v>619</v>
      </c>
      <c r="DJ160" s="311" t="s">
        <v>226</v>
      </c>
      <c r="DK160" s="311" t="s">
        <v>775</v>
      </c>
      <c r="DL160" s="311" t="s">
        <v>228</v>
      </c>
      <c r="DM160" s="311" t="s">
        <v>776</v>
      </c>
      <c r="DN160" s="311" t="s">
        <v>623</v>
      </c>
      <c r="DO160" s="311" t="s">
        <v>777</v>
      </c>
      <c r="DP160" s="311" t="s">
        <v>625</v>
      </c>
      <c r="DQ160" s="311" t="s">
        <v>778</v>
      </c>
      <c r="DR160" s="311" t="s">
        <v>627</v>
      </c>
      <c r="DS160" s="311" t="s">
        <v>779</v>
      </c>
      <c r="DT160" s="311" t="s">
        <v>629</v>
      </c>
      <c r="DU160" s="311" t="s">
        <v>630</v>
      </c>
      <c r="DV160" s="310" t="s">
        <v>238</v>
      </c>
      <c r="DW160" s="310" t="s">
        <v>780</v>
      </c>
      <c r="DX160" s="310" t="s">
        <v>240</v>
      </c>
      <c r="DY160" s="310" t="s">
        <v>632</v>
      </c>
      <c r="DZ160" s="310" t="s">
        <v>781</v>
      </c>
      <c r="EA160" s="310" t="s">
        <v>782</v>
      </c>
      <c r="EB160" s="310" t="s">
        <v>244</v>
      </c>
      <c r="EC160" s="310" t="s">
        <v>635</v>
      </c>
      <c r="ED160" s="310" t="s">
        <v>246</v>
      </c>
      <c r="EE160" s="310" t="s">
        <v>636</v>
      </c>
      <c r="EF160" s="310" t="s">
        <v>248</v>
      </c>
      <c r="EG160" s="310" t="s">
        <v>638</v>
      </c>
      <c r="EH160" s="310" t="s">
        <v>783</v>
      </c>
      <c r="EI160" s="310" t="s">
        <v>784</v>
      </c>
      <c r="EJ160" s="310" t="s">
        <v>641</v>
      </c>
      <c r="EK160" s="310" t="s">
        <v>785</v>
      </c>
      <c r="EL160" s="310" t="s">
        <v>786</v>
      </c>
      <c r="EM160" s="310" t="s">
        <v>644</v>
      </c>
      <c r="EN160" s="310" t="s">
        <v>645</v>
      </c>
      <c r="EO160" s="310" t="s">
        <v>787</v>
      </c>
      <c r="EP160" s="311" t="s">
        <v>258</v>
      </c>
      <c r="EQ160" s="311" t="s">
        <v>788</v>
      </c>
      <c r="ER160" s="311" t="s">
        <v>789</v>
      </c>
      <c r="ES160" s="311" t="s">
        <v>649</v>
      </c>
      <c r="ET160" s="311" t="s">
        <v>790</v>
      </c>
      <c r="EU160" s="311" t="s">
        <v>650</v>
      </c>
      <c r="EV160" s="311" t="s">
        <v>264</v>
      </c>
      <c r="EW160" s="311" t="s">
        <v>651</v>
      </c>
      <c r="EX160" s="311" t="s">
        <v>791</v>
      </c>
      <c r="EY160" s="311" t="s">
        <v>652</v>
      </c>
      <c r="EZ160" s="311" t="s">
        <v>268</v>
      </c>
      <c r="FA160" s="311" t="s">
        <v>654</v>
      </c>
      <c r="FB160" s="311" t="s">
        <v>655</v>
      </c>
      <c r="FC160" s="311" t="s">
        <v>656</v>
      </c>
      <c r="FD160" s="311" t="s">
        <v>657</v>
      </c>
      <c r="FE160" s="311" t="s">
        <v>792</v>
      </c>
      <c r="FF160" s="311" t="s">
        <v>659</v>
      </c>
      <c r="FG160" s="311" t="s">
        <v>660</v>
      </c>
      <c r="FH160" s="311" t="s">
        <v>661</v>
      </c>
      <c r="FI160" s="311" t="s">
        <v>793</v>
      </c>
      <c r="FJ160" s="310" t="s">
        <v>278</v>
      </c>
      <c r="FK160" s="310" t="s">
        <v>664</v>
      </c>
      <c r="FL160" s="310" t="s">
        <v>794</v>
      </c>
      <c r="FM160" s="310" t="s">
        <v>795</v>
      </c>
      <c r="FN160" s="310" t="s">
        <v>796</v>
      </c>
      <c r="FO160" s="310" t="s">
        <v>797</v>
      </c>
      <c r="FP160" s="310" t="s">
        <v>284</v>
      </c>
      <c r="FQ160" s="310" t="s">
        <v>668</v>
      </c>
      <c r="FR160" s="310" t="s">
        <v>286</v>
      </c>
      <c r="FS160" s="310" t="s">
        <v>798</v>
      </c>
      <c r="FT160" s="310" t="s">
        <v>288</v>
      </c>
      <c r="FU160" s="310" t="s">
        <v>799</v>
      </c>
      <c r="FV160" s="310" t="s">
        <v>800</v>
      </c>
      <c r="FW160" s="310" t="s">
        <v>801</v>
      </c>
      <c r="FX160" s="310" t="s">
        <v>674</v>
      </c>
      <c r="FY160" s="310" t="s">
        <v>802</v>
      </c>
      <c r="FZ160" s="310" t="s">
        <v>803</v>
      </c>
      <c r="GA160" s="310" t="s">
        <v>677</v>
      </c>
      <c r="GB160" s="310" t="s">
        <v>678</v>
      </c>
      <c r="GC160" s="310" t="s">
        <v>679</v>
      </c>
      <c r="GD160" s="311" t="s">
        <v>804</v>
      </c>
      <c r="GE160" s="311" t="s">
        <v>805</v>
      </c>
      <c r="GF160" s="311" t="s">
        <v>300</v>
      </c>
      <c r="GG160" s="311" t="s">
        <v>682</v>
      </c>
      <c r="GH160" s="311" t="s">
        <v>806</v>
      </c>
      <c r="GI160" s="311" t="s">
        <v>683</v>
      </c>
      <c r="GJ160" s="311" t="s">
        <v>807</v>
      </c>
      <c r="GK160" s="311" t="s">
        <v>808</v>
      </c>
      <c r="GL160" s="311" t="s">
        <v>809</v>
      </c>
      <c r="GM160" s="311" t="s">
        <v>810</v>
      </c>
      <c r="GN160" s="311" t="s">
        <v>308</v>
      </c>
      <c r="GO160" s="311" t="s">
        <v>811</v>
      </c>
      <c r="GP160" s="311" t="s">
        <v>812</v>
      </c>
      <c r="GQ160" s="311" t="s">
        <v>690</v>
      </c>
      <c r="GR160" s="311" t="s">
        <v>813</v>
      </c>
      <c r="GS160" s="311" t="s">
        <v>814</v>
      </c>
      <c r="GT160" s="311" t="s">
        <v>815</v>
      </c>
      <c r="GU160" s="311" t="s">
        <v>816</v>
      </c>
      <c r="GV160" s="311" t="s">
        <v>817</v>
      </c>
      <c r="GW160" s="321" t="s">
        <v>818</v>
      </c>
      <c r="GX160" s="355" t="s">
        <v>819</v>
      </c>
      <c r="GY160" s="355" t="s">
        <v>820</v>
      </c>
      <c r="GZ160" s="355" t="s">
        <v>821</v>
      </c>
      <c r="HA160" s="355" t="s">
        <v>700</v>
      </c>
      <c r="HB160" s="355" t="s">
        <v>822</v>
      </c>
    </row>
    <row r="161" spans="3:210" ht="15.75" x14ac:dyDescent="0.25">
      <c r="C161" s="503"/>
      <c r="D161" s="503" t="e">
        <f>VLOOKUP(Tabla12[[#This Row],[CÓDIGO DEL PRODUCTO Y/O SERVICIO ]],Tabla3[],2,0)</f>
        <v>#N/A</v>
      </c>
      <c r="E161" s="52"/>
      <c r="F161" s="52" t="e">
        <f>VLOOKUP(Tabla12[[#This Row],[CÓDIGO DEL PRODUCTO Y/O SERVICIO ]],Tabla3[],3,0)</f>
        <v>#N/A</v>
      </c>
      <c r="G161" s="52" t="e">
        <f>Tabla12[[#This Row],[UNIDADES PRODUCIDAS AÑO 1 1 ]]*$F$143</f>
        <v>#N/A</v>
      </c>
      <c r="H161" s="87" t="e">
        <f>VLOOKUP(Tabla12[[#This Row],[CÓDIGO DEL PRODUCTO Y/O SERVICIO ]],Tabla3[],9,0)</f>
        <v>#N/A</v>
      </c>
      <c r="I161" s="52" t="e">
        <f>Tabla12[[#This Row],[CANTIDADES A UTILIZAR EN EL AÑO 1 1]]*(1+Tabla12[[#This Row],[CAMBIO PORCENTUAL EN UNIDADES VENDIDAS AÑO 2 1 ]])</f>
        <v>#N/A</v>
      </c>
      <c r="J161" s="87" t="e">
        <f>VLOOKUP(Tabla12[[#This Row],[CÓDIGO DEL PRODUCTO Y/O SERVICIO ]],Tabla3[],13,0)</f>
        <v>#N/A</v>
      </c>
      <c r="K161" s="52" t="e">
        <f>Tabla12[[#This Row],[CANTIDADES A UTILIZAR EN EL AÑO 2 1]]*(1+Tabla12[[#This Row],[CAMBIO PORCENTUAL EN UNIDADES VENDIDAS AÑO 3 1 ]])</f>
        <v>#N/A</v>
      </c>
      <c r="L161" s="87" t="e">
        <f>VLOOKUP(Tabla12[[#This Row],[CÓDIGO DEL PRODUCTO Y/O SERVICIO ]],Tabla3[],17,0)</f>
        <v>#N/A</v>
      </c>
      <c r="M161" s="52" t="e">
        <f>Tabla12[[#This Row],[CANTIDADES A UTILIZAR EN EL AÑO 3 1 ]]*(1+Tabla12[[#This Row],[CAMBIO PORCENTUAL EN UNIDADES VENDIDAS AÑO 4 1]])</f>
        <v>#N/A</v>
      </c>
      <c r="N161" s="87" t="e">
        <f>VLOOKUP(Tabla12[[#This Row],[CÓDIGO DEL PRODUCTO Y/O SERVICIO ]],Tabla3[],21,0)</f>
        <v>#N/A</v>
      </c>
      <c r="O161" s="52" t="e">
        <f>Tabla12[[#This Row],[CANTIDADES A UTILIZAR EN EL AÑO 4 1 ]]*(1+Tabla12[[#This Row],[CAMBIO PORCENTUAL EN UNIDADES VENDIDAS AÑO 5 1 ]])</f>
        <v>#N/A</v>
      </c>
      <c r="P161" s="293" t="e">
        <f>IF(Tabla12[[#This Row],[CANTIDADES A UTILIZAR EN EL AÑO 1 1]]=0,0,Tabla12[[#This Row],[CANTIDADES A UTILIZAR EN EL AÑO 1 1]]*1/Tabla12[[#This Row],[UNIDADES PRODUCIDAS AÑO 1 1 ]])</f>
        <v>#N/A</v>
      </c>
      <c r="Q161" s="293">
        <f>$C$126*(1+BASES!$E$14)</f>
        <v>0</v>
      </c>
      <c r="R161" s="293">
        <f>Tabla12[[#This Row],[COSTO UNITARIO AÑO 2 1 ]]*(1+BASES!$F$14)</f>
        <v>0</v>
      </c>
      <c r="S161" s="293">
        <f>Tabla12[[#This Row],[COSTO UNITARIO AÑO 3 1 ]]*(1+BASES!$G$14)</f>
        <v>0</v>
      </c>
      <c r="T161" s="293">
        <f>Tabla12[[#This Row],[COSTO UNITARIO AÑO 4 1 ]]*(1+BASES!$H$14)</f>
        <v>0</v>
      </c>
      <c r="U161" s="293" t="e">
        <f>Tabla12[[#This Row],[COSTO POR UNIDAD DE PRODUCTO (1)]]*$C$126*VLOOKUP(Tabla12[[#This Row],[CÓDIGO DEL PRODUCTO Y/O SERVICIO ]],Tabla3[],3,0)</f>
        <v>#N/A</v>
      </c>
      <c r="V161" s="293" t="e">
        <f>Tabla12[[#This Row],[COSTO POR UNIDAD DE PRODUCTO (1)]]*Tabla12[[#This Row],[COSTO UNITARIO AÑO 2 1 ]]*VLOOKUP(Tabla12[[#This Row],[CÓDIGO DEL PRODUCTO Y/O SERVICIO ]],Tabla3[],6,0)</f>
        <v>#N/A</v>
      </c>
      <c r="W161" s="293" t="e">
        <f>Tabla12[[#This Row],[COSTO POR UNIDAD DE PRODUCTO (1)]]*Tabla12[[#This Row],[COSTO UNITARIO AÑO 3 1 ]]*VLOOKUP(Tabla12[[#This Row],[CÓDIGO DEL PRODUCTO Y/O SERVICIO ]],Tabla3[],10,0)</f>
        <v>#N/A</v>
      </c>
      <c r="X161" s="293" t="e">
        <f>Tabla12[[#This Row],[COSTO POR UNIDAD DE PRODUCTO (1)]]*Tabla12[[#This Row],[COSTO UNITARIO AÑO 4 1 ]]*VLOOKUP(Tabla12[[#This Row],[CÓDIGO DEL PRODUCTO Y/O SERVICIO ]],Tabla3[],14,0)</f>
        <v>#N/A</v>
      </c>
      <c r="Y161" s="293" t="e">
        <f>Tabla12[[#This Row],[COSTO POR UNIDAD DE PRODUCTO (1)]]*Tabla12[[#This Row],[COSTO UNITARIO AÑO 5 1 ]]*VLOOKUP(Tabla12[[#This Row],[CÓDIGO DEL PRODUCTO Y/O SERVICIO ]],Tabla3[],18,0)</f>
        <v>#N/A</v>
      </c>
      <c r="Z161" s="89" t="e">
        <f>VLOOKUP(Tabla12[[#This Row],[CÓDIGO DEL PRODUCTO Y/O SERVICIO ]],Tabla3[],3,0)</f>
        <v>#N/A</v>
      </c>
      <c r="AA161" s="89" t="e">
        <f>Tabla12[[#This Row],[UNIDADES PRODUCIDAS AÑO 1 2]]*G143</f>
        <v>#N/A</v>
      </c>
      <c r="AB161" s="87" t="e">
        <f>VLOOKUP(Tabla12[[#This Row],[CÓDIGO DEL PRODUCTO Y/O SERVICIO ]],Tabla3[],9,0)</f>
        <v>#N/A</v>
      </c>
      <c r="AC161" s="89" t="e">
        <f>Tabla12[[#This Row],[CANTIDADES A UTILIZAR EN EL AÑO 1 2 ]]*(1+Tabla12[[#This Row],[CAMBIO PORCENTUAL EN UNIDADES VENDIDAS AÑO 2 2 ]])</f>
        <v>#N/A</v>
      </c>
      <c r="AD161" s="87" t="e">
        <f>VLOOKUP(Tabla12[[#This Row],[CÓDIGO DEL PRODUCTO Y/O SERVICIO ]],Tabla3[],13,0)</f>
        <v>#N/A</v>
      </c>
      <c r="AE161" s="89" t="e">
        <f>Tabla12[[#This Row],[CANTIDADES A UTILIZAR EN EL AÑO 2 2 ]]*(1+Tabla12[[#This Row],[CAMBIO PORCENTUAL EN UNIDADES VENDIDAS AÑO 3 2]])</f>
        <v>#N/A</v>
      </c>
      <c r="AF161" s="87" t="e">
        <f>VLOOKUP(Tabla12[[#This Row],[CÓDIGO DEL PRODUCTO Y/O SERVICIO ]],Tabla3[],17,0)</f>
        <v>#N/A</v>
      </c>
      <c r="AG161" s="89" t="e">
        <f>Tabla12[[#This Row],[CANTIDADES A UTILIZAR EN EL AÑO 3 2]]*(1+Tabla12[[#This Row],[CAMBIO PORCENTUAL EN UNIDADES VENDIDAS AÑO 4 2]])</f>
        <v>#N/A</v>
      </c>
      <c r="AH161" s="87" t="e">
        <f>VLOOKUP(Tabla12[[#This Row],[CÓDIGO DEL PRODUCTO Y/O SERVICIO ]],Tabla3[],21,0)</f>
        <v>#N/A</v>
      </c>
      <c r="AI161" s="89" t="e">
        <f>Tabla12[[#This Row],[CANTIDADES A UTILIZAR EN EL AÑO 4 2]]*(1+Tabla12[[#This Row],[CAMBIO PORCENTUAL EN UNIDADES VENDIDAS AÑO 5 2]])</f>
        <v>#N/A</v>
      </c>
      <c r="AJ161" s="293" t="e">
        <f>IF(Tabla12[[#This Row],[CANTIDADES A UTILIZAR EN EL AÑO 1 2 ]]=0,0,Tabla12[[#This Row],[CANTIDADES A UTILIZAR EN EL AÑO 1 2 ]]*1/Tabla12[[#This Row],[UNIDADES PRODUCIDAS AÑO 1 2]])</f>
        <v>#N/A</v>
      </c>
      <c r="AK161" s="293">
        <f>$C$127*(1+BASES!$E$14)</f>
        <v>0</v>
      </c>
      <c r="AL161" s="293">
        <f>Tabla12[[#This Row],[COSTO UNITARIO AÑO 2 2]]*(1+BASES!$F$14)</f>
        <v>0</v>
      </c>
      <c r="AM161" s="293">
        <f>Tabla12[[#This Row],[COSTO UNITARIO AÑO 3 2 ]]*(1+BASES!$G$14)</f>
        <v>0</v>
      </c>
      <c r="AN161" s="293">
        <f>Tabla12[[#This Row],[COSTO UNITARIO AÑO 4 2 ]]*(1+BASES!$H$14)</f>
        <v>0</v>
      </c>
      <c r="AO161" s="293" t="e">
        <f>Tabla12[[#This Row],[COSTO POR UNIDAD DE PRODUCTO (2)]]*$C$127*VLOOKUP(Tabla12[[#This Row],[CÓDIGO DEL PRODUCTO Y/O SERVICIO ]],Tabla3[],3,0)</f>
        <v>#N/A</v>
      </c>
      <c r="AP161" s="293" t="e">
        <f>Tabla12[[#This Row],[COSTO POR UNIDAD DE PRODUCTO (2)]]*Tabla12[[#This Row],[COSTO UNITARIO AÑO 2 2]]*VLOOKUP(Tabla12[[#This Row],[CÓDIGO DEL PRODUCTO Y/O SERVICIO ]],Tabla3[],6,0)</f>
        <v>#N/A</v>
      </c>
      <c r="AQ161" s="293" t="e">
        <f>Tabla12[[#This Row],[COSTO POR UNIDAD DE PRODUCTO (2)]]*Tabla12[[#This Row],[COSTO UNITARIO AÑO 3 2 ]]*VLOOKUP(Tabla12[[#This Row],[CÓDIGO DEL PRODUCTO Y/O SERVICIO ]],Tabla3[],10,0)</f>
        <v>#N/A</v>
      </c>
      <c r="AR161" s="293" t="e">
        <f>Tabla12[[#This Row],[COSTO POR UNIDAD DE PRODUCTO (2)]]*Tabla12[[#This Row],[COSTO UNITARIO AÑO 4 2 ]]*VLOOKUP(Tabla12[[#This Row],[CÓDIGO DEL PRODUCTO Y/O SERVICIO ]],Tabla3[],14,0)</f>
        <v>#N/A</v>
      </c>
      <c r="AS161" s="293" t="e">
        <f>Tabla12[[#This Row],[COSTO POR UNIDAD DE PRODUCTO (2)]]*Tabla12[[#This Row],[COSTO UNITARIO AÑO 5 2 ]]*VLOOKUP(Tabla12[[#This Row],[CÓDIGO DEL PRODUCTO Y/O SERVICIO ]],Tabla3[],18,0)</f>
        <v>#N/A</v>
      </c>
      <c r="AT161" s="89" t="e">
        <f>VLOOKUP(Tabla12[[#This Row],[CÓDIGO DEL PRODUCTO Y/O SERVICIO ]],Tabla3[],3,0)</f>
        <v>#N/A</v>
      </c>
      <c r="AU161" s="89" t="e">
        <f>Tabla12[[#This Row],[UNIDADES PRODUCIDAS AÑO 1 3]]*H143</f>
        <v>#N/A</v>
      </c>
      <c r="AV161" s="87" t="e">
        <f>VLOOKUP(Tabla12[[#This Row],[CÓDIGO DEL PRODUCTO Y/O SERVICIO ]],Tabla3[],9,0)</f>
        <v>#N/A</v>
      </c>
      <c r="AW161" s="89" t="e">
        <f>Tabla12[[#This Row],[CANTIDADES A UTILIZAR EN EL AÑO 1 3]]*(1+Tabla12[[#This Row],[CAMBIO PORCENTUAL EN UNIDADES VENDIDAS AÑO 2 3]])</f>
        <v>#N/A</v>
      </c>
      <c r="AX161" s="87" t="e">
        <f>VLOOKUP(Tabla12[[#This Row],[CÓDIGO DEL PRODUCTO Y/O SERVICIO ]],Tabla3[],13,0)</f>
        <v>#N/A</v>
      </c>
      <c r="AY161" s="89" t="e">
        <f>Tabla12[[#This Row],[CANTIDADES A UTILIZAR EN EL AÑO 2 3]]*(1+Tabla12[[#This Row],[CAMBIO PORCENTUAL EN UNIDADES VENDIDAS AÑO 3 3]])</f>
        <v>#N/A</v>
      </c>
      <c r="AZ161" s="87" t="e">
        <f>VLOOKUP(Tabla12[[#This Row],[CÓDIGO DEL PRODUCTO Y/O SERVICIO ]],Tabla3[],17,0)</f>
        <v>#N/A</v>
      </c>
      <c r="BA161" s="89" t="e">
        <f>Tabla12[[#This Row],[CANTIDADES A UTILIZAR EN EL AÑO 3 3]]*(1+Tabla12[[#This Row],[CAMBIO PORCENTUAL EN UNIDADES VENDIDAS AÑO 4 3]])</f>
        <v>#N/A</v>
      </c>
      <c r="BB161" s="87" t="e">
        <f>VLOOKUP(Tabla12[[#This Row],[CÓDIGO DEL PRODUCTO Y/O SERVICIO ]],Tabla3[],21,0)</f>
        <v>#N/A</v>
      </c>
      <c r="BC161" s="89" t="e">
        <f>Tabla12[[#This Row],[CANTIDADES A UTILIZAR EN EL AÑO 4 3]]*(1+Tabla12[[#This Row],[CAMBIO PORCENTUAL EN UNIDADES VENDIDAS AÑO 5 3]])</f>
        <v>#N/A</v>
      </c>
      <c r="BD161" s="293" t="e">
        <f>IF(Tabla12[[#This Row],[CANTIDADES A UTILIZAR EN EL AÑO 1 3]]=0,0,Tabla12[[#This Row],[CANTIDADES A UTILIZAR EN EL AÑO 1 3]]*1/Tabla12[[#This Row],[UNIDADES PRODUCIDAS AÑO 1 3]])</f>
        <v>#N/A</v>
      </c>
      <c r="BE161" s="293">
        <f>$C$128*(1+BASES!$E$14)</f>
        <v>0</v>
      </c>
      <c r="BF161" s="293">
        <f>Tabla12[[#This Row],[COSTO UNITARIO AÑO 2 3]]*(1+BASES!$F$14)</f>
        <v>0</v>
      </c>
      <c r="BG161" s="293">
        <f>Tabla12[[#This Row],[COSTO UNITARIO AÑO 3 3 ]]*(1+BASES!$G$14)</f>
        <v>0</v>
      </c>
      <c r="BH161" s="293">
        <f>Tabla12[[#This Row],[COSTO UNITARIO AÑO 4 3]]*(1+BASES!$H$14)</f>
        <v>0</v>
      </c>
      <c r="BI161" s="293" t="e">
        <f>Tabla12[[#This Row],[COSTO POR UNIDAD DE PRODUCTO (3)]]*$C$128*VLOOKUP(Tabla12[[#This Row],[CÓDIGO DEL PRODUCTO Y/O SERVICIO ]],Tabla3[],3,0)</f>
        <v>#N/A</v>
      </c>
      <c r="BJ161" s="293" t="e">
        <f>Tabla12[[#This Row],[COSTO POR UNIDAD DE PRODUCTO (3)]]*Tabla12[[#This Row],[COSTO UNITARIO AÑO 2 3]]*VLOOKUP(Tabla12[[#This Row],[CÓDIGO DEL PRODUCTO Y/O SERVICIO ]],Tabla3[],6,0)</f>
        <v>#N/A</v>
      </c>
      <c r="BK161" s="293" t="e">
        <f>Tabla12[[#This Row],[COSTO POR UNIDAD DE PRODUCTO (3)]]*Tabla12[[#This Row],[COSTO UNITARIO AÑO 3 3 ]]*VLOOKUP(Tabla12[[#This Row],[CÓDIGO DEL PRODUCTO Y/O SERVICIO ]],Tabla3[],10,0)</f>
        <v>#N/A</v>
      </c>
      <c r="BL161" s="293" t="e">
        <f>Tabla12[[#This Row],[COSTO POR UNIDAD DE PRODUCTO (3)]]*Tabla12[[#This Row],[COSTO UNITARIO AÑO 4 3]]*VLOOKUP(Tabla12[[#This Row],[CÓDIGO DEL PRODUCTO Y/O SERVICIO ]],Tabla3[],14,0)</f>
        <v>#N/A</v>
      </c>
      <c r="BM161" s="293" t="e">
        <f>Tabla12[[#This Row],[COSTO POR UNIDAD DE PRODUCTO (3)]]*Tabla12[[#This Row],[COSTO UNITARIO AÑO 5 3 ]]*VLOOKUP(Tabla12[[#This Row],[CÓDIGO DEL PRODUCTO Y/O SERVICIO ]],Tabla3[],18,0)</f>
        <v>#N/A</v>
      </c>
      <c r="BN161" s="89" t="e">
        <f>VLOOKUP(Tabla12[[#This Row],[CÓDIGO DEL PRODUCTO Y/O SERVICIO ]],Tabla3[],3,0)</f>
        <v>#N/A</v>
      </c>
      <c r="BO161" s="89" t="e">
        <f>Tabla12[[#This Row],[UNIDADES PRODUCIDAS AÑO 1 4]]*I143</f>
        <v>#N/A</v>
      </c>
      <c r="BP161" s="87" t="e">
        <f>VLOOKUP(Tabla12[[#This Row],[CÓDIGO DEL PRODUCTO Y/O SERVICIO ]],Tabla3[],9,0)</f>
        <v>#N/A</v>
      </c>
      <c r="BQ161" s="89" t="e">
        <f>Tabla12[[#This Row],[CANTIDADES A UTILIZAR EN EL AÑO 1 4]]*(1+Tabla12[[#This Row],[CAMBIO PORCENTUAL EN UNIDADES VENDIDAS AÑO 2 4]])</f>
        <v>#N/A</v>
      </c>
      <c r="BR161" s="87" t="e">
        <f>VLOOKUP(Tabla12[[#This Row],[CÓDIGO DEL PRODUCTO Y/O SERVICIO ]],Tabla3[],13,0)</f>
        <v>#N/A</v>
      </c>
      <c r="BS161" s="89" t="e">
        <f>Tabla12[[#This Row],[CANTIDADES A UTILIZAR EN EL AÑO 2 4]]*(1+Tabla12[[#This Row],[CAMBIO PORCENTUAL EN UNIDADES VENDIDAS AÑO 3 4]])</f>
        <v>#N/A</v>
      </c>
      <c r="BT161" s="87" t="e">
        <f>VLOOKUP(Tabla12[[#This Row],[CÓDIGO DEL PRODUCTO Y/O SERVICIO ]],Tabla3[],17,0)</f>
        <v>#N/A</v>
      </c>
      <c r="BU161" s="89" t="e">
        <f>Tabla12[[#This Row],[CANTIDADES A UTILIZAR EN EL AÑO 3 4 ]]*(1+Tabla12[[#This Row],[CAMBIO PORCENTUAL EN UNIDADES VENDIDAS AÑO 4 4 ]])</f>
        <v>#N/A</v>
      </c>
      <c r="BV161" s="87" t="e">
        <f>VLOOKUP(Tabla12[[#This Row],[CÓDIGO DEL PRODUCTO Y/O SERVICIO ]],Tabla3[],21,0)</f>
        <v>#N/A</v>
      </c>
      <c r="BW161" s="89" t="e">
        <f>Tabla12[[#This Row],[CANTIDADES A UTILIZAR EN EL AÑO 4 4 ]]*(1+Tabla12[[#This Row],[CAMBIO PORCENTUAL EN UNIDADES VENDIDAS AÑO 5 4 ]])</f>
        <v>#N/A</v>
      </c>
      <c r="BX161" s="293" t="e">
        <f>IF(Tabla12[[#This Row],[CANTIDADES A UTILIZAR EN EL AÑO 1 4]]=0,0,Tabla12[[#This Row],[CANTIDADES A UTILIZAR EN EL AÑO 1 4]]*1/Tabla12[[#This Row],[UNIDADES PRODUCIDAS AÑO 1 4]])</f>
        <v>#N/A</v>
      </c>
      <c r="BY161" s="293">
        <f>$C$129*(1+BASES!$E$14)</f>
        <v>0</v>
      </c>
      <c r="BZ161" s="293">
        <f>Tabla12[[#This Row],[COSTO UNITARIO AÑO 2 4 ]]*(1+BASES!$F$14)</f>
        <v>0</v>
      </c>
      <c r="CA161" s="293">
        <f>Tabla12[[#This Row],[COSTO UNITARIO AÑO 3 4 ]]*(1+BASES!$G$14)</f>
        <v>0</v>
      </c>
      <c r="CB161" s="293">
        <f>Tabla12[[#This Row],[COSTO UNITARIO AÑO 4 4 ]]*(1+BASES!$H$14)</f>
        <v>0</v>
      </c>
      <c r="CC161" s="293" t="e">
        <f>Tabla12[[#This Row],[COSTO POR UNIDAD DE PRODUCTO (4)]]*$C$129*VLOOKUP(Tabla12[[#This Row],[CÓDIGO DEL PRODUCTO Y/O SERVICIO ]],Tabla3[],3,0)</f>
        <v>#N/A</v>
      </c>
      <c r="CD161" s="293" t="e">
        <f>Tabla12[[#This Row],[COSTO POR UNIDAD DE PRODUCTO (4)]]*Tabla12[[#This Row],[COSTO UNITARIO AÑO 2 4 ]]*VLOOKUP(Tabla12[[#This Row],[CÓDIGO DEL PRODUCTO Y/O SERVICIO ]],Tabla3[],6,0)</f>
        <v>#N/A</v>
      </c>
      <c r="CE161" s="293" t="e">
        <f>Tabla12[[#This Row],[COSTO POR UNIDAD DE PRODUCTO (4)]]*Tabla12[[#This Row],[COSTO UNITARIO AÑO 3 4 ]]*VLOOKUP(Tabla12[[#This Row],[CÓDIGO DEL PRODUCTO Y/O SERVICIO ]],Tabla3[],10,0)</f>
        <v>#N/A</v>
      </c>
      <c r="CF161" s="293" t="e">
        <f>Tabla12[[#This Row],[COSTO POR UNIDAD DE PRODUCTO (4)]]*Tabla12[[#This Row],[COSTO UNITARIO AÑO 4 4 ]]*VLOOKUP(Tabla12[[#This Row],[CÓDIGO DEL PRODUCTO Y/O SERVICIO ]],Tabla3[],14,0)</f>
        <v>#N/A</v>
      </c>
      <c r="CG161" s="293" t="e">
        <f>Tabla12[[#This Row],[COSTO POR UNIDAD DE PRODUCTO (4)]]*Tabla12[[#This Row],[COSTO UNITARIO AÑO 5 4 ]]*VLOOKUP(Tabla12[[#This Row],[CÓDIGO DEL PRODUCTO Y/O SERVICIO ]],Tabla3[],18,0)</f>
        <v>#N/A</v>
      </c>
      <c r="CH161" s="89" t="e">
        <f>VLOOKUP(Tabla12[[#This Row],[CÓDIGO DEL PRODUCTO Y/O SERVICIO ]],Tabla3[],3,0)</f>
        <v>#N/A</v>
      </c>
      <c r="CI161" s="89" t="e">
        <f>Tabla12[[#This Row],[UNIDADES PRODUCIDAS AÑO 1 5]]*J143</f>
        <v>#N/A</v>
      </c>
      <c r="CJ161" s="87" t="e">
        <f>VLOOKUP(Tabla12[[#This Row],[CÓDIGO DEL PRODUCTO Y/O SERVICIO ]],Tabla3[],9,0)</f>
        <v>#N/A</v>
      </c>
      <c r="CK161" s="89" t="e">
        <f>Tabla12[[#This Row],[CANTIDADES A UTILIZAR EN EL AÑO 1 5]]*(1+Tabla12[[#This Row],[CAMBIO PORCENTUAL EN UNIDADES VENDIDAS AÑO 2 5 ]])</f>
        <v>#N/A</v>
      </c>
      <c r="CL161" s="87" t="e">
        <f>VLOOKUP(Tabla12[[#This Row],[CÓDIGO DEL PRODUCTO Y/O SERVICIO ]],Tabla3[],13,0)</f>
        <v>#N/A</v>
      </c>
      <c r="CM161" s="89" t="e">
        <f>Tabla12[[#This Row],[CANTIDADES A UTILIZAR EN EL AÑO 2 5]]*(1+Tabla12[[#This Row],[CAMBIO PORCENTUAL EN UNIDADES VENDIDAS AÑO 3 5 ]])</f>
        <v>#N/A</v>
      </c>
      <c r="CN161" s="87" t="e">
        <f>VLOOKUP(Tabla12[[#This Row],[CÓDIGO DEL PRODUCTO Y/O SERVICIO ]],Tabla3[],17,0)</f>
        <v>#N/A</v>
      </c>
      <c r="CO161" s="89" t="e">
        <f>Tabla12[[#This Row],[CANTIDADES A UTILIZAR EN EL AÑO 3 5 ]]*(1+Tabla12[[#This Row],[CAMBIO PORCENTUAL EN UNIDADES VENDIDAS AÑO 4 5 ]])</f>
        <v>#N/A</v>
      </c>
      <c r="CP161" s="87" t="e">
        <f>VLOOKUP(Tabla12[[#This Row],[CÓDIGO DEL PRODUCTO Y/O SERVICIO ]],Tabla3[],21,0)</f>
        <v>#N/A</v>
      </c>
      <c r="CQ161" s="89" t="e">
        <f>Tabla12[[#This Row],[CANTIDADES A UTILIZAR EN EL AÑO 4 5 ]]*(1+Tabla12[[#This Row],[CAMBIO PORCENTUAL EN UNIDADES VENDIDAS AÑO 5 5]])</f>
        <v>#N/A</v>
      </c>
      <c r="CR161" s="293" t="e">
        <f>IF(Tabla12[[#This Row],[CANTIDADES A UTILIZAR EN EL AÑO 1 5]]=0,0,Tabla12[[#This Row],[CANTIDADES A UTILIZAR EN EL AÑO 1 5]]*1/Tabla12[[#This Row],[UNIDADES PRODUCIDAS AÑO 1 5]])</f>
        <v>#N/A</v>
      </c>
      <c r="CS161" s="293">
        <f>$C$130*(1+BASES!$E$14)</f>
        <v>0</v>
      </c>
      <c r="CT161" s="293">
        <f>Tabla12[[#This Row],[COSTO UNITARIO AÑO 2 5]]*(1+BASES!$F$14)</f>
        <v>0</v>
      </c>
      <c r="CU161" s="293">
        <f>Tabla12[[#This Row],[COSTO UNITARIO AÑO 3 5]]*(1+BASES!$G$14)</f>
        <v>0</v>
      </c>
      <c r="CV161" s="293">
        <f>Tabla12[[#This Row],[COSTO UNITARIO AÑO 4 5]]*(1+BASES!$H$14)</f>
        <v>0</v>
      </c>
      <c r="CW161" s="293" t="e">
        <f>Tabla12[[#This Row],[COSTO POR UNIDAD DE PRODUCTO (5)]]*$C$130*VLOOKUP(Tabla12[[#This Row],[CÓDIGO DEL PRODUCTO Y/O SERVICIO ]],Tabla3[],3,0)</f>
        <v>#N/A</v>
      </c>
      <c r="CX161" s="293" t="e">
        <f>Tabla12[[#This Row],[COSTO POR UNIDAD DE PRODUCTO (5)]]*Tabla12[[#This Row],[COSTO UNITARIO AÑO 2 5]]*VLOOKUP(Tabla12[[#This Row],[CÓDIGO DEL PRODUCTO Y/O SERVICIO ]],Tabla3[],6,0)</f>
        <v>#N/A</v>
      </c>
      <c r="CY161" s="293" t="e">
        <f>Tabla12[[#This Row],[COSTO POR UNIDAD DE PRODUCTO (5)]]*Tabla12[[#This Row],[COSTO UNITARIO AÑO 3 5]]*VLOOKUP(Tabla12[[#This Row],[CÓDIGO DEL PRODUCTO Y/O SERVICIO ]],Tabla3[],10,0)</f>
        <v>#N/A</v>
      </c>
      <c r="CZ161" s="293" t="e">
        <f>Tabla12[[#This Row],[COSTO POR UNIDAD DE PRODUCTO (5)]]*Tabla12[[#This Row],[COSTO UNITARIO AÑO 4 5]]*VLOOKUP(Tabla12[[#This Row],[CÓDIGO DEL PRODUCTO Y/O SERVICIO ]],Tabla3[],14,0)</f>
        <v>#N/A</v>
      </c>
      <c r="DA161" s="293" t="e">
        <f>Tabla12[[#This Row],[COSTO POR UNIDAD DE PRODUCTO (5)]]*Tabla12[[#This Row],[COSTO UNITARIO AÑO 5 5 ]]*VLOOKUP(Tabla12[[#This Row],[CÓDIGO DEL PRODUCTO Y/O SERVICIO ]],Tabla3[],18,0)</f>
        <v>#N/A</v>
      </c>
      <c r="DB161" s="89" t="e">
        <f>VLOOKUP(Tabla12[[#This Row],[CÓDIGO DEL PRODUCTO Y/O SERVICIO ]],Tabla3[],3,0)</f>
        <v>#N/A</v>
      </c>
      <c r="DC161" s="89" t="e">
        <f>Tabla12[[#This Row],[UNIDADES PRODUCIDAS AÑO 1 6]]*K143</f>
        <v>#N/A</v>
      </c>
      <c r="DD161" s="87" t="e">
        <f>VLOOKUP(Tabla12[[#This Row],[CÓDIGO DEL PRODUCTO Y/O SERVICIO ]],Tabla3[],9,0)</f>
        <v>#N/A</v>
      </c>
      <c r="DE161" s="89" t="e">
        <f>Tabla12[[#This Row],[CANTIDADES A UTILIZAR EN EL AÑO 1 6]]*(1+Tabla12[[#This Row],[CAMBIO PORCENTUAL EN UNIDADES VENDIDAS AÑO 2 6]])</f>
        <v>#N/A</v>
      </c>
      <c r="DF161" s="87" t="e">
        <f>VLOOKUP(Tabla12[[#This Row],[CÓDIGO DEL PRODUCTO Y/O SERVICIO ]],Tabla3[],13,0)</f>
        <v>#N/A</v>
      </c>
      <c r="DG161" s="89" t="e">
        <f>Tabla12[[#This Row],[CANTIDADES A UTILIZAR EN EL AÑO 2 6]]*(1+Tabla12[[#This Row],[CAMBIO PORCENTUAL EN UNIDADES VENDIDAS AÑO 3 6]])</f>
        <v>#N/A</v>
      </c>
      <c r="DH161" s="87" t="e">
        <f>VLOOKUP(Tabla12[[#This Row],[CÓDIGO DEL PRODUCTO Y/O SERVICIO ]],Tabla3[],17,0)</f>
        <v>#N/A</v>
      </c>
      <c r="DI161" s="89" t="e">
        <f>Tabla12[[#This Row],[CANTIDADES A UTILIZAR EN EL AÑO 3 6]]*(1+Tabla12[[#This Row],[CAMBIO PORCENTUAL EN UNIDADES VENDIDAS AÑO 4 6]])</f>
        <v>#N/A</v>
      </c>
      <c r="DJ161" s="87" t="e">
        <f>VLOOKUP(Tabla12[[#This Row],[CÓDIGO DEL PRODUCTO Y/O SERVICIO ]],Tabla3[],21,0)</f>
        <v>#N/A</v>
      </c>
      <c r="DK161" s="89" t="e">
        <f>Tabla12[[#This Row],[CANTIDADES A UTILIZAR EN EL AÑO 4 6]]*(1+Tabla12[[#This Row],[CAMBIO PORCENTUAL EN UNIDADES VENDIDAS AÑO 5 6]])</f>
        <v>#N/A</v>
      </c>
      <c r="DL161" s="293" t="e">
        <f>IF(Tabla12[[#This Row],[CANTIDADES A UTILIZAR EN EL AÑO 1 6]]=0,0,Tabla12[[#This Row],[CANTIDADES A UTILIZAR EN EL AÑO 1 6]]*1/Tabla12[[#This Row],[UNIDADES PRODUCIDAS AÑO 1 6]])</f>
        <v>#N/A</v>
      </c>
      <c r="DM161" s="293">
        <f>$C$131*(1+BASES!$E$14)</f>
        <v>0</v>
      </c>
      <c r="DN161" s="293">
        <f>Tabla12[[#This Row],[COSTO UNITARIO AÑO 2 6]]*(1+BASES!$F$14)</f>
        <v>0</v>
      </c>
      <c r="DO161" s="293">
        <f>Tabla12[[#This Row],[COSTO UNITARIO AÑO 3 6]]*(1+BASES!$G$14)</f>
        <v>0</v>
      </c>
      <c r="DP161" s="293">
        <f>Tabla12[[#This Row],[COSTO UNITARIO AÑO 4 6]]*(1+BASES!$H$14)</f>
        <v>0</v>
      </c>
      <c r="DQ161" s="293" t="e">
        <f>Tabla12[[#This Row],[COSTO POR UNIDAD DE PRODUCTO (6)]]*$C$131*VLOOKUP(Tabla12[[#This Row],[CÓDIGO DEL PRODUCTO Y/O SERVICIO ]],Tabla3[],3,0)</f>
        <v>#N/A</v>
      </c>
      <c r="DR161" s="293" t="e">
        <f>Tabla12[[#This Row],[COSTO POR UNIDAD DE PRODUCTO (6)]]*Tabla12[[#This Row],[COSTO UNITARIO AÑO 2 6]]*VLOOKUP(Tabla12[[#This Row],[CÓDIGO DEL PRODUCTO Y/O SERVICIO ]],Tabla3[],6,0)</f>
        <v>#N/A</v>
      </c>
      <c r="DS161" s="293" t="e">
        <f>Tabla12[[#This Row],[COSTO POR UNIDAD DE PRODUCTO (6)]]*Tabla12[[#This Row],[COSTO UNITARIO AÑO 3 6]]*VLOOKUP(Tabla12[[#This Row],[CÓDIGO DEL PRODUCTO Y/O SERVICIO ]],Tabla3[],10,0)</f>
        <v>#N/A</v>
      </c>
      <c r="DT161" s="293" t="e">
        <f>Tabla12[[#This Row],[COSTO POR UNIDAD DE PRODUCTO (6)]]*Tabla12[[#This Row],[COSTO UNITARIO AÑO 4 6]]*VLOOKUP(Tabla12[[#This Row],[CÓDIGO DEL PRODUCTO Y/O SERVICIO ]],Tabla3[],14,0)</f>
        <v>#N/A</v>
      </c>
      <c r="DU161" s="293" t="e">
        <f>Tabla12[[#This Row],[COSTO POR UNIDAD DE PRODUCTO (6)]]*Tabla12[[#This Row],[COSTO UNITARIO AÑO 5 6]]*VLOOKUP(Tabla12[[#This Row],[CÓDIGO DEL PRODUCTO Y/O SERVICIO ]],Tabla3[],18,0)</f>
        <v>#N/A</v>
      </c>
      <c r="DV161" s="89" t="e">
        <f>VLOOKUP(Tabla12[[#This Row],[CÓDIGO DEL PRODUCTO Y/O SERVICIO ]],Tabla3[],3,0)</f>
        <v>#N/A</v>
      </c>
      <c r="DW161" s="89" t="e">
        <f>Tabla12[[#This Row],[UNIDADES PRODUCIDAS AÑO 1 7]]*L143</f>
        <v>#N/A</v>
      </c>
      <c r="DX161" s="87" t="e">
        <f>VLOOKUP(Tabla12[[#This Row],[CÓDIGO DEL PRODUCTO Y/O SERVICIO ]],Tabla3[],9,0)</f>
        <v>#N/A</v>
      </c>
      <c r="DY161" s="89" t="e">
        <f>Tabla12[[#This Row],[CANTIDADES A UTILIZAR EN EL AÑO 1 7]]*(1+Tabla12[[#This Row],[CAMBIO PORCENTUAL EN UNIDADES VENDIDAS AÑO 2 7]])</f>
        <v>#N/A</v>
      </c>
      <c r="DZ161" s="87" t="e">
        <f>VLOOKUP(Tabla12[[#This Row],[CÓDIGO DEL PRODUCTO Y/O SERVICIO ]],Tabla3[],13,0)</f>
        <v>#N/A</v>
      </c>
      <c r="EA161" s="89" t="e">
        <f>Tabla12[[#This Row],[CANTIDADES A UTILIZAR EN EL AÑO 2 7]]*(1+Tabla12[[#This Row],[CAMBIO PORCENTUAL EN UNIDADES VENDIDAS AÑO 3 7]])</f>
        <v>#N/A</v>
      </c>
      <c r="EB161" s="87" t="e">
        <f>VLOOKUP(Tabla12[[#This Row],[CÓDIGO DEL PRODUCTO Y/O SERVICIO ]],Tabla3[],17,0)</f>
        <v>#N/A</v>
      </c>
      <c r="EC161" s="89" t="e">
        <f>Tabla12[[#This Row],[CANTIDADES A UTILIZAR EN EL AÑO 3 7]]*(1+Tabla12[[#This Row],[CAMBIO PORCENTUAL EN UNIDADES VENDIDAS AÑO 4 7]])</f>
        <v>#N/A</v>
      </c>
      <c r="ED161" s="87" t="e">
        <f>VLOOKUP(Tabla12[[#This Row],[CÓDIGO DEL PRODUCTO Y/O SERVICIO ]],Tabla3[],21,0)</f>
        <v>#N/A</v>
      </c>
      <c r="EE161" s="89" t="e">
        <f>Tabla12[[#This Row],[CANTIDADES A UTILIZAR EN EL AÑO 4 7]]*(1+Tabla12[[#This Row],[CAMBIO PORCENTUAL EN UNIDADES VENDIDAS AÑO 5 7]])</f>
        <v>#N/A</v>
      </c>
      <c r="EF161" s="293" t="e">
        <f>IF(Tabla12[[#This Row],[CANTIDADES A UTILIZAR EN EL AÑO 1 7]]=0,0,Tabla12[[#This Row],[CANTIDADES A UTILIZAR EN EL AÑO 1 7]]*1/Tabla12[[#This Row],[UNIDADES PRODUCIDAS AÑO 1 7]])</f>
        <v>#N/A</v>
      </c>
      <c r="EG161" s="293">
        <f>$C$132*(1+BASES!$E$14)</f>
        <v>0</v>
      </c>
      <c r="EH161" s="293">
        <f>Tabla12[[#This Row],[COSTO UNITARIO AÑO 2 7]]*(1+BASES!$F$14)</f>
        <v>0</v>
      </c>
      <c r="EI161" s="293">
        <f>Tabla12[[#This Row],[COSTO UNITARIO AÑO 3 7]]*(1+BASES!$G$14)</f>
        <v>0</v>
      </c>
      <c r="EJ161" s="293">
        <f>Tabla12[[#This Row],[COSTO UNITARIO AÑO 4 7]]*(1+BASES!$H$14)</f>
        <v>0</v>
      </c>
      <c r="EK161" s="293" t="e">
        <f>Tabla12[[#This Row],[COSTO POR UNIDAD DE PRODUCTO (7)]]*$C$132*VLOOKUP(Tabla12[[#This Row],[CÓDIGO DEL PRODUCTO Y/O SERVICIO ]],Tabla3[],3,0)</f>
        <v>#N/A</v>
      </c>
      <c r="EL161" s="293" t="e">
        <f>Tabla12[[#This Row],[COSTO POR UNIDAD DE PRODUCTO (7)]]*Tabla12[[#This Row],[COSTO UNITARIO AÑO 2 7]]*VLOOKUP(Tabla12[[#This Row],[CÓDIGO DEL PRODUCTO Y/O SERVICIO ]],Tabla3[],6,0)</f>
        <v>#N/A</v>
      </c>
      <c r="EM161" s="293" t="e">
        <f>Tabla12[[#This Row],[COSTO POR UNIDAD DE PRODUCTO (7)]]*Tabla12[[#This Row],[COSTO UNITARIO AÑO 3 7]]*VLOOKUP(Tabla12[[#This Row],[CÓDIGO DEL PRODUCTO Y/O SERVICIO ]],Tabla3[],10,0)</f>
        <v>#N/A</v>
      </c>
      <c r="EN161" s="293" t="e">
        <f>Tabla12[[#This Row],[COSTO POR UNIDAD DE PRODUCTO (7)]]*Tabla12[[#This Row],[COSTO UNITARIO AÑO 4 7]]*VLOOKUP(Tabla12[[#This Row],[CÓDIGO DEL PRODUCTO Y/O SERVICIO ]],Tabla3[],14,0)</f>
        <v>#N/A</v>
      </c>
      <c r="EO161" s="293" t="e">
        <f>Tabla12[[#This Row],[COSTO POR UNIDAD DE PRODUCTO (7)]]*Tabla12[[#This Row],[COSTO UNITARIO AÑO 5 7]]*VLOOKUP(Tabla12[[#This Row],[CÓDIGO DEL PRODUCTO Y/O SERVICIO ]],Tabla3[],18,0)</f>
        <v>#N/A</v>
      </c>
      <c r="EP161" s="89" t="e">
        <f>VLOOKUP(Tabla12[[#This Row],[CÓDIGO DEL PRODUCTO Y/O SERVICIO ]],Tabla3[],3,0)</f>
        <v>#N/A</v>
      </c>
      <c r="EQ161" s="89" t="e">
        <f>Tabla12[[#This Row],[UNIDADES PRODUCIDAS AÑO 1 8]]*M143</f>
        <v>#N/A</v>
      </c>
      <c r="ER161" s="87" t="e">
        <f>VLOOKUP(Tabla12[[#This Row],[CÓDIGO DEL PRODUCTO Y/O SERVICIO ]],Tabla3[],9,0)</f>
        <v>#N/A</v>
      </c>
      <c r="ES161" s="89" t="e">
        <f>Tabla12[[#This Row],[CANTIDADES A UTILIZAR EN EL AÑO 1 8]]*(1+Tabla12[[#This Row],[CAMBIO PORCENTUAL EN UNIDADES VENDIDAS AÑO 2 8]])</f>
        <v>#N/A</v>
      </c>
      <c r="ET161" s="87" t="e">
        <f>VLOOKUP(Tabla12[[#This Row],[CÓDIGO DEL PRODUCTO Y/O SERVICIO ]],Tabla3[],13,0)</f>
        <v>#N/A</v>
      </c>
      <c r="EU161" s="89" t="e">
        <f>Tabla12[[#This Row],[CANTIDADES A UTILIZAR EN EL AÑO 2 8]]*(1+Tabla12[[#This Row],[CAMBIO PORCENTUAL EN UNIDADES VENDIDAS AÑO 3 8]])</f>
        <v>#N/A</v>
      </c>
      <c r="EV161" s="87" t="e">
        <f>VLOOKUP(Tabla12[[#This Row],[CÓDIGO DEL PRODUCTO Y/O SERVICIO ]],Tabla3[],17,0)</f>
        <v>#N/A</v>
      </c>
      <c r="EW161" s="89" t="e">
        <f>Tabla12[[#This Row],[CANTIDADES A UTILIZAR EN EL AÑO 3 8]]*(1+Tabla12[[#This Row],[CAMBIO PORCENTUAL EN UNIDADES VENDIDAS AÑO 4 8]])</f>
        <v>#N/A</v>
      </c>
      <c r="EX161" s="87" t="e">
        <f>VLOOKUP(Tabla12[[#This Row],[CÓDIGO DEL PRODUCTO Y/O SERVICIO ]],Tabla3[],21,0)</f>
        <v>#N/A</v>
      </c>
      <c r="EY161" s="89" t="e">
        <f>Tabla12[[#This Row],[CANTIDADES A UTILIZAR EN EL AÑO 4 8]]*(1+Tabla12[[#This Row],[CAMBIO PORCENTUAL EN UNIDADES VENDIDAS AÑO 5 8]])</f>
        <v>#N/A</v>
      </c>
      <c r="EZ161" s="293" t="e">
        <f>IF(Tabla12[[#This Row],[CANTIDADES A UTILIZAR EN EL AÑO 1 8]]=0,0,Tabla12[[#This Row],[CANTIDADES A UTILIZAR EN EL AÑO 1 8]]*1/Tabla12[[#This Row],[UNIDADES PRODUCIDAS AÑO 1 8]])</f>
        <v>#N/A</v>
      </c>
      <c r="FA161" s="293">
        <f>$C$133*(1+BASES!$E$14)</f>
        <v>0</v>
      </c>
      <c r="FB161" s="293">
        <f>Tabla12[[#This Row],[COSTO UNITARIO AÑO 2 8]]*(1+BASES!$F$14)</f>
        <v>0</v>
      </c>
      <c r="FC161" s="293">
        <f>Tabla12[[#This Row],[COSTO UNITARIO AÑO 3 8]]*(1+BASES!$G$14)</f>
        <v>0</v>
      </c>
      <c r="FD161" s="293">
        <f>Tabla12[[#This Row],[COSTO UNITARIO AÑO 4 8]]*(1+BASES!$H$14)</f>
        <v>0</v>
      </c>
      <c r="FE161" s="293" t="e">
        <f>Tabla12[[#This Row],[COSTO POR UNIDAD DE PRODUCTO (8)]]*$C$133*VLOOKUP(Tabla12[[#This Row],[CÓDIGO DEL PRODUCTO Y/O SERVICIO ]],Tabla3[],3,0)</f>
        <v>#N/A</v>
      </c>
      <c r="FF161" s="293" t="e">
        <f>Tabla12[[#This Row],[COSTO POR UNIDAD DE PRODUCTO (8)]]*Tabla12[[#This Row],[COSTO UNITARIO AÑO 2 8]]*VLOOKUP(Tabla12[[#This Row],[CÓDIGO DEL PRODUCTO Y/O SERVICIO ]],Tabla3[],6,0)</f>
        <v>#N/A</v>
      </c>
      <c r="FG161" s="293" t="e">
        <f>Tabla12[[#This Row],[COSTO POR UNIDAD DE PRODUCTO (8)]]*Tabla12[[#This Row],[COSTO UNITARIO AÑO 3 8]]*VLOOKUP(Tabla12[[#This Row],[CÓDIGO DEL PRODUCTO Y/O SERVICIO ]],Tabla3[],10,0)</f>
        <v>#N/A</v>
      </c>
      <c r="FH161" s="293" t="e">
        <f>Tabla12[[#This Row],[COSTO POR UNIDAD DE PRODUCTO (8)]]*Tabla12[[#This Row],[COSTO UNITARIO AÑO 4 8]]*VLOOKUP(Tabla12[[#This Row],[CÓDIGO DEL PRODUCTO Y/O SERVICIO ]],Tabla3[],14,0)</f>
        <v>#N/A</v>
      </c>
      <c r="FI161" s="293" t="e">
        <f>Tabla12[[#This Row],[COSTO POR UNIDAD DE PRODUCTO (8)]]*Tabla12[[#This Row],[COSTO UNITARIO AÑO 5 8]]*VLOOKUP(Tabla12[[#This Row],[CÓDIGO DEL PRODUCTO Y/O SERVICIO ]],Tabla3[],18,0)</f>
        <v>#N/A</v>
      </c>
      <c r="FJ161" s="89" t="e">
        <f>VLOOKUP(Tabla12[[#This Row],[CÓDIGO DEL PRODUCTO Y/O SERVICIO ]],Tabla3[],3,0)</f>
        <v>#N/A</v>
      </c>
      <c r="FK161" s="89" t="e">
        <f>Tabla12[[#This Row],[UNIDADES PRODUCIDAS AÑO 1 9 ]]*N143</f>
        <v>#N/A</v>
      </c>
      <c r="FL161" s="87" t="e">
        <f>VLOOKUP(Tabla12[[#This Row],[CÓDIGO DEL PRODUCTO Y/O SERVICIO ]],Tabla3[],9,0)</f>
        <v>#N/A</v>
      </c>
      <c r="FM161" s="89" t="e">
        <f>Tabla12[[#This Row],[CANTIDADES A UTILIZAR EN EL AÑO 1 9]]*(1+Tabla12[[#This Row],[CAMBIO PORCENTUAL UNIDADES VENDIDAS AÑO 2 9 ]])</f>
        <v>#N/A</v>
      </c>
      <c r="FN161" s="87" t="e">
        <f>VLOOKUP(Tabla12[[#This Row],[CÓDIGO DEL PRODUCTO Y/O SERVICIO ]],Tabla3[],13,0)</f>
        <v>#N/A</v>
      </c>
      <c r="FO161" s="89" t="e">
        <f>Tabla12[[#This Row],[CANTIDADES A UTILIZAR EN EL AÑO 2 9 ]]*(1+Tabla12[[#This Row],[CAMBIO PORCENTUAL EN UNIDADES VENDIDAS AÑO 3 9 ]])</f>
        <v>#N/A</v>
      </c>
      <c r="FP161" s="87" t="e">
        <f>VLOOKUP(Tabla12[[#This Row],[CÓDIGO DEL PRODUCTO Y/O SERVICIO ]],Tabla3[],17,0)</f>
        <v>#N/A</v>
      </c>
      <c r="FQ161" s="89" t="e">
        <f>Tabla12[[#This Row],[CANTIDADES A UTILIZAR EN EL AÑO 3 9 ]]*(1+Tabla12[[#This Row],[CAMBIO PORCENTUAL EN UNIDADES VENDIDAS AÑO 4 9 ]])</f>
        <v>#N/A</v>
      </c>
      <c r="FR161" s="87" t="e">
        <f>VLOOKUP(Tabla12[[#This Row],[CÓDIGO DEL PRODUCTO Y/O SERVICIO ]],Tabla3[],21,0)</f>
        <v>#N/A</v>
      </c>
      <c r="FS161" s="89" t="e">
        <f>Tabla12[[#This Row],[CANTIDADES A UTILIZAR EN EL AÑO 4 9]]*(1+Tabla12[[#This Row],[CAMBIO PORCENTUAL EN UNIDADES VENDIDAS AÑO 5 9]])</f>
        <v>#N/A</v>
      </c>
      <c r="FT161" s="293" t="e">
        <f>IF(Tabla12[[#This Row],[CANTIDADES A UTILIZAR EN EL AÑO 1 9]]=0,0,Tabla12[[#This Row],[CANTIDADES A UTILIZAR EN EL AÑO 1 9]]*1/Tabla12[[#This Row],[UNIDADES PRODUCIDAS AÑO 1 9 ]])</f>
        <v>#N/A</v>
      </c>
      <c r="FU161" s="293">
        <f>$C$134*(1+BASES!$E$14)</f>
        <v>0</v>
      </c>
      <c r="FV161" s="293">
        <f>Tabla12[[#This Row],[COSTO UNITARIO AÑO 2 9]]*(1+BASES!$F$14)</f>
        <v>0</v>
      </c>
      <c r="FW161" s="293">
        <f>Tabla12[[#This Row],[COSTO UNITARIO AÑO 3 9]]*(1+BASES!$G$14)</f>
        <v>0</v>
      </c>
      <c r="FX161" s="293">
        <f>Tabla12[[#This Row],[COSTO UNITARIO AÑO 4 9]]*(1+BASES!$H$14)</f>
        <v>0</v>
      </c>
      <c r="FY161" s="293" t="e">
        <f>Tabla12[[#This Row],[COSTO POR UNIDAD DE PRODUCTO (9)]]*$C$134*VLOOKUP(Tabla12[[#This Row],[CÓDIGO DEL PRODUCTO Y/O SERVICIO ]],Tabla3[],3,0)</f>
        <v>#N/A</v>
      </c>
      <c r="FZ161" s="293" t="e">
        <f>Tabla12[[#This Row],[COSTO POR UNIDAD DE PRODUCTO (9)]]*Tabla12[[#This Row],[COSTO UNITARIO AÑO 2 9]]*VLOOKUP(Tabla12[[#This Row],[CÓDIGO DEL PRODUCTO Y/O SERVICIO ]],Tabla3[],6,0)</f>
        <v>#N/A</v>
      </c>
      <c r="GA161" s="293" t="e">
        <f>Tabla12[[#This Row],[COSTO POR UNIDAD DE PRODUCTO (9)]]*Tabla12[[#This Row],[COSTO UNITARIO AÑO 3 9]]*VLOOKUP(Tabla12[[#This Row],[CÓDIGO DEL PRODUCTO Y/O SERVICIO ]],Tabla3[],10,0)</f>
        <v>#N/A</v>
      </c>
      <c r="GB161" s="293" t="e">
        <f>Tabla12[[#This Row],[COSTO POR UNIDAD DE PRODUCTO (9)]]*Tabla12[[#This Row],[COSTO UNITARIO AÑO 4 9]]*VLOOKUP(Tabla12[[#This Row],[CÓDIGO DEL PRODUCTO Y/O SERVICIO ]],Tabla3[],14,0)</f>
        <v>#N/A</v>
      </c>
      <c r="GC161" s="293" t="e">
        <f>Tabla12[[#This Row],[COSTO POR UNIDAD DE PRODUCTO (9)]]*Tabla12[[#This Row],[COSTO UNITARIO AÑO 5 9]]*VLOOKUP(Tabla12[[#This Row],[CÓDIGO DEL PRODUCTO Y/O SERVICIO ]],Tabla3[],18,0)</f>
        <v>#N/A</v>
      </c>
      <c r="GD161" s="89" t="e">
        <f>VLOOKUP(Tabla12[[#This Row],[CÓDIGO DEL PRODUCTO Y/O SERVICIO ]],Tabla3[],3,0)</f>
        <v>#N/A</v>
      </c>
      <c r="GE161" s="89" t="e">
        <f>Tabla12[[#This Row],[UNIDADES PRODUCIDAS AÑO 1 10 ]]*O143</f>
        <v>#N/A</v>
      </c>
      <c r="GF161" s="87" t="e">
        <f>VLOOKUP(Tabla12[[#This Row],[CÓDIGO DEL PRODUCTO Y/O SERVICIO ]],Tabla3[],9,0)</f>
        <v>#N/A</v>
      </c>
      <c r="GG161" s="87" t="e">
        <f>Tabla12[[#This Row],[CANTIDADES A UTILIZAR EN EL AÑO 1 10 ]]*(1+Tabla12[[#This Row],[CAMBIO PORCENTUAL EN UNIDADES VENDIDAS AÑO 2 10 ]])</f>
        <v>#N/A</v>
      </c>
      <c r="GH161" s="87" t="e">
        <f>VLOOKUP(Tabla12[[#This Row],[CÓDIGO DEL PRODUCTO Y/O SERVICIO ]],Tabla3[],13,0)</f>
        <v>#N/A</v>
      </c>
      <c r="GI161" s="89" t="e">
        <f>Tabla12[[#This Row],[CANTIDADES A UTILIZAR EN EL AÑO 2 10]]*(1+Tabla12[[#This Row],[CAMBIO PORCENTUAL EN UNIDADES VENDIDAS AÑO 3 10 ]])</f>
        <v>#N/A</v>
      </c>
      <c r="GJ161" s="87" t="e">
        <f>VLOOKUP(Tabla12[[#This Row],[CÓDIGO DEL PRODUCTO Y/O SERVICIO ]],Tabla3[],17,0)</f>
        <v>#N/A</v>
      </c>
      <c r="GK161" s="89" t="e">
        <f>Tabla12[[#This Row],[CANTIDADES A UTILIZAR EN EL AÑO 3 10]]*(1+Tabla12[[#This Row],[CAMBIO PORCENTUAL EN UNIDADES VENDIDAS AÑO 4 10 ]])</f>
        <v>#N/A</v>
      </c>
      <c r="GL161" s="87" t="e">
        <f>VLOOKUP(Tabla12[[#This Row],[CÓDIGO DEL PRODUCTO Y/O SERVICIO ]],Tabla3[],21,0)</f>
        <v>#N/A</v>
      </c>
      <c r="GM161" s="89" t="e">
        <f>Tabla12[[#This Row],[CANTIDADES A UTILIZAR EN EL AÑO 4 10 ]]*(1+Tabla12[[#This Row],[CAMBIO PORCENTUAL EN UNIDADES VENDIDAS AÑO 5 10 ]])</f>
        <v>#N/A</v>
      </c>
      <c r="GN161" s="293" t="e">
        <f>IF(Tabla12[[#This Row],[CANTIDADES A UTILIZAR EN EL AÑO 1 10 ]]=0,0,Tabla12[[#This Row],[CANTIDADES A UTILIZAR EN EL AÑO 1 10 ]]*1/Tabla12[[#This Row],[UNIDADES PRODUCIDAS AÑO 1 10 ]])</f>
        <v>#N/A</v>
      </c>
      <c r="GO161" s="293">
        <f>$C$135*(1+BASES!$E$14)</f>
        <v>0</v>
      </c>
      <c r="GP161" s="293">
        <f>Tabla12[[#This Row],[COSTO UNITARIO AÑO 2 10 ]]*(1+BASES!$F$14)</f>
        <v>0</v>
      </c>
      <c r="GQ161" s="293">
        <f>Tabla12[[#This Row],[COSTO UNITARIO AÑO 3 10 ]]*(1+BASES!$G$14)</f>
        <v>0</v>
      </c>
      <c r="GR161" s="293">
        <f>Tabla12[[#This Row],[COSTO UNITARIO AÑO 4 10]]*(1+BASES!$H$14)</f>
        <v>0</v>
      </c>
      <c r="GS161" s="293" t="e">
        <f>Tabla12[[#This Row],[COSTO POR UNIDAD DE PRODUCTO (10)]]*$C$135*VLOOKUP(Tabla12[[#This Row],[CÓDIGO DEL PRODUCTO Y/O SERVICIO ]],Tabla3[],3,0)</f>
        <v>#N/A</v>
      </c>
      <c r="GT161" s="293" t="e">
        <f>Tabla12[[#This Row],[COSTO POR UNIDAD DE PRODUCTO (10)]]*Tabla12[[#This Row],[COSTO UNITARIO AÑO 2 10 ]]*VLOOKUP(Tabla12[[#This Row],[CÓDIGO DEL PRODUCTO Y/O SERVICIO ]],Tabla3[],6,0)</f>
        <v>#N/A</v>
      </c>
      <c r="GU161" s="293" t="e">
        <f>Tabla12[[#This Row],[COSTO POR UNIDAD DE PRODUCTO (10)]]*Tabla12[[#This Row],[COSTO UNITARIO AÑO 3 10 ]]*VLOOKUP(Tabla12[[#This Row],[CÓDIGO DEL PRODUCTO Y/O SERVICIO ]],Tabla3[],10,0)</f>
        <v>#N/A</v>
      </c>
      <c r="GV161" s="293" t="e">
        <f>Tabla12[[#This Row],[COSTO POR UNIDAD DE PRODUCTO (10)]]*Tabla12[[#This Row],[COSTO UNITARIO AÑO 4 10]]*VLOOKUP(Tabla12[[#This Row],[CÓDIGO DEL PRODUCTO Y/O SERVICIO ]],Tabla3[],14,0)</f>
        <v>#N/A</v>
      </c>
      <c r="GW161" s="293" t="e">
        <f>Tabla12[[#This Row],[COSTO POR UNIDAD DE PRODUCTO (10)]]*Tabla12[[#This Row],[COSTO UNITARIO AÑO 5 10 ]]*VLOOKUP(Tabla12[[#This Row],[CÓDIGO DEL PRODUCTO Y/O SERVICIO ]],Tabla3[],18,0)</f>
        <v>#N/A</v>
      </c>
      <c r="GX161" s="320" t="e">
        <f>Tabla12[[#This Row],[AÑO 1 10 ]]+Tabla12[[#This Row],[AÑO 1 9 ]]+Tabla12[[#This Row],[AÑO 1 8]]+Tabla12[[#This Row],[AÑO 1 7]]+Tabla12[[#This Row],[AÑO 1 6]]+Tabla12[[#This Row],[AÑO 1 5]]+Tabla12[[#This Row],[AÑO 1 4 ]]+Tabla12[[#This Row],[AÑO 1 3]]+Tabla12[[#This Row],[AÑO 1 2]]+Tabla12[[#This Row],[AÑO 1 1]]</f>
        <v>#N/A</v>
      </c>
      <c r="GY161" s="320" t="e">
        <f>Tabla12[[#This Row],[AÑO 2 10 ]]+Tabla12[[#This Row],[AÑO 2 9 ]]+Tabla12[[#This Row],[AÑO 2 8]]+Tabla12[[#This Row],[AÑO 2 7]]+Tabla12[[#This Row],[AÑO 2 6]]+Tabla12[[#This Row],[AÑO 2 5]]+Tabla12[[#This Row],[AÑO 2 4 ]]+Tabla12[[#This Row],[AÑO 2 3]]+Tabla12[[#This Row],[AÑO 2 2 ]]+Tabla12[[#This Row],[AÑO 2 1 ]]</f>
        <v>#N/A</v>
      </c>
      <c r="GZ161" s="320" t="e">
        <f>Tabla12[[#This Row],[AÑO 3 10 ]]+Tabla12[[#This Row],[AÑO 3 9]]+Tabla12[[#This Row],[AÑO 3 8]]+Tabla12[[#This Row],[AÑO 3 7]]+Tabla12[[#This Row],[AÑO 3 6]]+Tabla12[[#This Row],[AÑO 3 5]]+Tabla12[[#This Row],[AÑO 3 4 ]]+Tabla12[[#This Row],[AÑO 3 3 ]]+Tabla12[[#This Row],[AÑO 3 2 ]]+Tabla12[[#This Row],[AÑO 3 1 ]]</f>
        <v>#N/A</v>
      </c>
      <c r="HA161" s="320" t="e">
        <f>Tabla12[[#This Row],[AÑO 4 10 ]]+Tabla12[[#This Row],[AÑO 4 9]]+Tabla12[[#This Row],[AÑO 4 8]]+Tabla12[[#This Row],[AÑO 4 7]]+Tabla12[[#This Row],[AÑO 4 6]]+Tabla12[[#This Row],[AÑO 4 5]]+Tabla12[[#This Row],[AÑO 4 4 ]]+Tabla12[[#This Row],[AÑO 4 3 ]]+Tabla12[[#This Row],[AÑO 4 2 ]]+Tabla12[[#This Row],[AÑO 4 1 ]]</f>
        <v>#N/A</v>
      </c>
      <c r="HB161" s="320" t="e">
        <f>Tabla12[[#This Row],[AÑO 5 10 ]]+Tabla12[[#This Row],[AÑO 5 9]]+Tabla12[[#This Row],[AÑO 5 8]]+Tabla12[[#This Row],[AÑO 5 7]]+Tabla12[[#This Row],[AÑO 5 6]]+Tabla12[[#This Row],[AÑO 5 5]]+Tabla12[[#This Row],[AÑO 5 4 ]]+Tabla12[[#This Row],[AÑO 5 3 ]]+Tabla12[[#This Row],[AÑO 5 2 ]]+Tabla12[[#This Row],[AÑO 5 1 ]]</f>
        <v>#N/A</v>
      </c>
    </row>
    <row r="171" spans="3:210" s="7" customFormat="1" ht="15.75" hidden="1" x14ac:dyDescent="0.25">
      <c r="U171" s="319" t="e">
        <f>SUM(Tabla12[AÑO 1 1])</f>
        <v>#N/A</v>
      </c>
      <c r="V171" s="319" t="e">
        <f>SUM(Tabla12[[AÑO 2 1 ]])</f>
        <v>#N/A</v>
      </c>
      <c r="W171" s="319" t="e">
        <f>SUM(Tabla12[[AÑO 3 1 ]])</f>
        <v>#N/A</v>
      </c>
      <c r="X171" s="319" t="e">
        <f>SUM(Tabla12[[AÑO 4 1 ]])</f>
        <v>#N/A</v>
      </c>
      <c r="Y171" s="319" t="e">
        <f>SUM(Tabla12[[AÑO 5 1 ]])</f>
        <v>#N/A</v>
      </c>
      <c r="AO171" s="319" t="e">
        <f>SUM(Tabla12[AÑO 1 2])</f>
        <v>#N/A</v>
      </c>
      <c r="AP171" s="319" t="e">
        <f>SUM(Tabla12[[AÑO 2 2 ]])</f>
        <v>#N/A</v>
      </c>
      <c r="AQ171" s="319" t="e">
        <f>SUM(Tabla12[[AÑO 3 2 ]])</f>
        <v>#N/A</v>
      </c>
      <c r="AR171" s="319" t="e">
        <f>SUM(Tabla12[[AÑO 4 2 ]])</f>
        <v>#N/A</v>
      </c>
      <c r="AS171" s="319" t="e">
        <f>SUM(Tabla12[[AÑO 5 2 ]])</f>
        <v>#N/A</v>
      </c>
      <c r="BI171" s="319" t="e">
        <f>SUM(Tabla12[AÑO 1 3])</f>
        <v>#N/A</v>
      </c>
      <c r="BJ171" s="319" t="e">
        <f>SUM(Tabla12[AÑO 2 3])</f>
        <v>#N/A</v>
      </c>
      <c r="BK171" s="319" t="e">
        <f>SUM(Tabla12[[AÑO 3 3 ]])</f>
        <v>#N/A</v>
      </c>
      <c r="BL171" s="319" t="e">
        <f>SUM(Tabla12[[AÑO 4 3 ]])</f>
        <v>#N/A</v>
      </c>
      <c r="BM171" s="319" t="e">
        <f>SUM(Tabla12[[AÑO 5 3 ]])</f>
        <v>#N/A</v>
      </c>
      <c r="CC171" s="319" t="e">
        <f>SUM(Tabla12[[AÑO 1 4 ]])</f>
        <v>#N/A</v>
      </c>
      <c r="CD171" s="319" t="e">
        <f>SUM(Tabla12[[AÑO 2 4 ]])</f>
        <v>#N/A</v>
      </c>
      <c r="CE171" s="319" t="e">
        <f>SUM(Tabla12[[AÑO 3 4 ]])</f>
        <v>#N/A</v>
      </c>
      <c r="CF171" s="319" t="e">
        <f>SUM(Tabla12[[AÑO 4 4 ]])</f>
        <v>#N/A</v>
      </c>
      <c r="CG171" s="319" t="e">
        <f>SUM(Tabla12[[AÑO 5 4 ]])</f>
        <v>#N/A</v>
      </c>
      <c r="CW171" s="319" t="e">
        <f>SUM(Tabla12[AÑO 1 5])</f>
        <v>#N/A</v>
      </c>
      <c r="CX171" s="319" t="e">
        <f>SUM(Tabla12[AÑO 2 5])</f>
        <v>#N/A</v>
      </c>
      <c r="CY171" s="319" t="e">
        <f>SUM(Tabla12[AÑO 3 5])</f>
        <v>#N/A</v>
      </c>
      <c r="CZ171" s="319" t="e">
        <f>SUM(Tabla12[AÑO 4 5])</f>
        <v>#N/A</v>
      </c>
      <c r="DA171" s="319" t="e">
        <f>SUM(Tabla12[AÑO 5 5])</f>
        <v>#N/A</v>
      </c>
      <c r="DQ171" s="319" t="e">
        <f>SUM(Tabla12[AÑO 1 6])</f>
        <v>#N/A</v>
      </c>
      <c r="DR171" s="319" t="e">
        <f>SUM(Tabla12[AÑO 2 6])</f>
        <v>#N/A</v>
      </c>
      <c r="DS171" s="319" t="e">
        <f>SUM(Tabla12[AÑO 3 6])</f>
        <v>#N/A</v>
      </c>
      <c r="DT171" s="319" t="e">
        <f>SUM(Tabla12[AÑO 4 6])</f>
        <v>#N/A</v>
      </c>
      <c r="DU171" s="319" t="e">
        <f>SUM(Tabla12[AÑO 5 6])</f>
        <v>#N/A</v>
      </c>
      <c r="EK171" s="319" t="e">
        <f>SUM(Tabla12[AÑO 1 7])</f>
        <v>#N/A</v>
      </c>
      <c r="EL171" s="319" t="e">
        <f>SUM(Tabla12[AÑO 2 7])</f>
        <v>#N/A</v>
      </c>
      <c r="EM171" s="319" t="e">
        <f>SUM(Tabla12[AÑO 3 7])</f>
        <v>#N/A</v>
      </c>
      <c r="EN171" s="319" t="e">
        <f>SUM(Tabla12[AÑO 4 7])</f>
        <v>#N/A</v>
      </c>
      <c r="EO171" s="319" t="e">
        <f>SUM(Tabla12[AÑO 5 7])</f>
        <v>#N/A</v>
      </c>
      <c r="FE171" s="319" t="e">
        <f>SUM(Tabla12[AÑO 1 8])</f>
        <v>#N/A</v>
      </c>
      <c r="FF171" s="319" t="e">
        <f>SUM(Tabla12[AÑO 2 8])</f>
        <v>#N/A</v>
      </c>
      <c r="FG171" s="319" t="e">
        <f>SUM(Tabla12[AÑO 3 8])</f>
        <v>#N/A</v>
      </c>
      <c r="FH171" s="319" t="e">
        <f>SUM(Tabla12[AÑO 4 8])</f>
        <v>#N/A</v>
      </c>
      <c r="FI171" s="319" t="e">
        <f>SUM(Tabla12[AÑO 5 8])</f>
        <v>#N/A</v>
      </c>
      <c r="FY171" s="319" t="e">
        <f>SUM(Tabla12[[AÑO 1 9 ]])</f>
        <v>#N/A</v>
      </c>
      <c r="FZ171" s="319" t="e">
        <f>SUM(Tabla12[[AÑO 2 9 ]])</f>
        <v>#N/A</v>
      </c>
      <c r="GA171" s="319" t="e">
        <f>SUM(Tabla12[AÑO 3 9])</f>
        <v>#N/A</v>
      </c>
      <c r="GB171" s="319" t="e">
        <f>SUM(Tabla12[AÑO 4 9])</f>
        <v>#N/A</v>
      </c>
      <c r="GC171" s="319" t="e">
        <f>SUM(Tabla12[AÑO 5 9])</f>
        <v>#N/A</v>
      </c>
      <c r="GS171" s="319" t="e">
        <f>SUM(Tabla12[[AÑO 1 10 ]])</f>
        <v>#N/A</v>
      </c>
      <c r="GT171" s="319" t="e">
        <f>SUM(Tabla12[[AÑO 2 10 ]])</f>
        <v>#N/A</v>
      </c>
      <c r="GU171" s="319" t="e">
        <f>SUM(Tabla12[[AÑO 3 10 ]])</f>
        <v>#N/A</v>
      </c>
      <c r="GV171" s="319" t="e">
        <f>SUM(Tabla12[[AÑO 4 10 ]])</f>
        <v>#N/A</v>
      </c>
      <c r="GW171" s="319" t="e">
        <f>SUM(Tabla12[[AÑO 5 10 ]])</f>
        <v>#N/A</v>
      </c>
    </row>
    <row r="174" spans="3:210" ht="15.75" x14ac:dyDescent="0.25">
      <c r="C174" s="80"/>
      <c r="D174" s="316" t="s">
        <v>823</v>
      </c>
      <c r="E174" s="316"/>
      <c r="F174" s="316" t="s">
        <v>824</v>
      </c>
      <c r="G174" s="316" t="s">
        <v>135</v>
      </c>
      <c r="H174" s="316" t="s">
        <v>136</v>
      </c>
      <c r="I174" s="316" t="s">
        <v>137</v>
      </c>
    </row>
    <row r="175" spans="3:210" ht="15.75" x14ac:dyDescent="0.25">
      <c r="C175" s="69" t="s">
        <v>825</v>
      </c>
      <c r="D175" s="322" t="e">
        <f>U68+AO68+BI68+CC68+CW68+DQ68+EK68+FE68+FY68+GS68+HM68+IG68+JA68+JU68+KO68+LI68+MC68+MW68+NQ68+OK68</f>
        <v>#N/A</v>
      </c>
      <c r="E175" s="322" t="e">
        <f>V68+AP68+BJ68+CD68+CX68+DR68+EL68+FF68+FZ68+GT68+HN68+IH68+JB68+JV68+KP68+LJ68+MD68+MX68+NR68+OL68</f>
        <v>#N/A</v>
      </c>
      <c r="F175" s="322" t="e">
        <f>V68+AP68+BJ68+CD68+CX68+DR68+EL68+FF68+FZ68+GT68+HN68+IH68+JB68+JV68+KP68+LJ68+MD68+MX68+NR68+OL68</f>
        <v>#N/A</v>
      </c>
      <c r="G175" s="322" t="e">
        <f>W68+AQ68+BK68+CE68+CY68+DS68+EM68+FG68+GA68+GU68+HO68+II68+JC68+JW68+KQ68+LK68+ME68+MY68+NS68+OM68</f>
        <v>#N/A</v>
      </c>
      <c r="H175" s="322" t="e">
        <f>X68+AR68+BL68+CF68+CZ68+DT68+EN68+FH68+GB68+GV68+HP68+IJ68+JD68+JX68+KR68+LL68+MF68+MZ68+NT68+ON68</f>
        <v>#N/A</v>
      </c>
      <c r="I175" s="322" t="e">
        <f>Y68+AS68+BM68+CG68+DA68+DU68+EO68+FI68+GC68+GW68+HQ68+IK68+JE68+JY68+KS68+LM68+MG68+NA68+NU68+OO68</f>
        <v>#N/A</v>
      </c>
    </row>
    <row r="176" spans="3:210" ht="15.75" x14ac:dyDescent="0.25">
      <c r="C176" s="69" t="s">
        <v>826</v>
      </c>
      <c r="D176" s="322" t="e">
        <f>U117+AO117+BI117+CC117+CW117+DQ117+EK117+FE117+FY117+GS117</f>
        <v>#N/A</v>
      </c>
      <c r="E176" s="322" t="e">
        <f>V117+AP117+BJ117+CD117+CX117+DR117+EL117+FF117+FZ117+GT117</f>
        <v>#N/A</v>
      </c>
      <c r="F176" s="322" t="e">
        <f>V117+AP117+BJ117+CD117+CX117+DR117+EL117+FF117+FZ117+GT117</f>
        <v>#N/A</v>
      </c>
      <c r="G176" s="322" t="e">
        <f>W117+AQ117+BK117+CE117+CY117+DS117+EM117+FG117+GA117+GU117</f>
        <v>#N/A</v>
      </c>
      <c r="H176" s="322" t="e">
        <f>X117+AR117+BL117+CF117+CZ117+DT117+EN117+FH117+GB117+GV117</f>
        <v>#N/A</v>
      </c>
      <c r="I176" s="322" t="e">
        <f>Y117+AS117+BM117+CG117+DA117+DU117+EO117+FI117+GC117+GW117</f>
        <v>#N/A</v>
      </c>
    </row>
    <row r="177" spans="3:25" ht="16.5" thickBot="1" x14ac:dyDescent="0.3">
      <c r="C177" s="323" t="s">
        <v>827</v>
      </c>
      <c r="D177" s="324" t="e">
        <f>U171+AO171+BI171+CC171+CW171+DQ171+EK171+FE171+FY171+GS171</f>
        <v>#N/A</v>
      </c>
      <c r="E177" s="324" t="e">
        <f t="shared" ref="E177" si="0">V171+AP171+BJ171+CD171+CX171+DR171+EL171+FF171+FZ171+GT171</f>
        <v>#N/A</v>
      </c>
      <c r="F177" s="324" t="e">
        <f>V171+AP171+BJ171+CD171+CX171+DR171+EL171+FF171+FZ171+GT171</f>
        <v>#N/A</v>
      </c>
      <c r="G177" s="324" t="e">
        <f>W171+AQ171+BK171+CE171+CY171+DS171+EM171+FG171+GA171+GU171</f>
        <v>#N/A</v>
      </c>
      <c r="H177" s="324" t="e">
        <f>X171+AR171+BL171+CF171+CZ171+DT171+EN171+FH171+GB171+GV171</f>
        <v>#N/A</v>
      </c>
      <c r="I177" s="324" t="e">
        <f>Y171+AS171+BM171+CG171+DA171+DU171+EO171+FI171+GC171+GW171</f>
        <v>#N/A</v>
      </c>
    </row>
    <row r="178" spans="3:25" ht="16.5" thickBot="1" x14ac:dyDescent="0.3">
      <c r="C178" s="325" t="s">
        <v>828</v>
      </c>
      <c r="D178" s="326" t="e">
        <f>SUM(D175:D177)</f>
        <v>#N/A</v>
      </c>
      <c r="E178" s="326" t="e">
        <f t="shared" ref="E178:I178" si="1">SUM(E175:E177)</f>
        <v>#N/A</v>
      </c>
      <c r="F178" s="326" t="e">
        <f t="shared" si="1"/>
        <v>#N/A</v>
      </c>
      <c r="G178" s="326" t="e">
        <f t="shared" si="1"/>
        <v>#N/A</v>
      </c>
      <c r="H178" s="326" t="e">
        <f>SUM(H175:H177)</f>
        <v>#N/A</v>
      </c>
      <c r="I178" s="326" t="e">
        <f t="shared" si="1"/>
        <v>#N/A</v>
      </c>
    </row>
    <row r="185" spans="3:25" ht="15.75" x14ac:dyDescent="0.25">
      <c r="C185" s="563" t="s">
        <v>829</v>
      </c>
      <c r="D185" s="563"/>
      <c r="E185" s="563"/>
      <c r="F185" s="563"/>
      <c r="G185" s="563"/>
      <c r="H185" s="563"/>
      <c r="I185" s="563"/>
      <c r="J185" s="563"/>
      <c r="K185" s="563"/>
      <c r="L185" s="563"/>
      <c r="M185" s="563"/>
      <c r="N185" s="563"/>
      <c r="O185" s="563"/>
      <c r="P185" s="563"/>
      <c r="Q185" s="563"/>
      <c r="R185" s="563"/>
      <c r="S185" s="563"/>
      <c r="T185" s="563"/>
      <c r="U185" s="643" t="s">
        <v>830</v>
      </c>
      <c r="V185" s="643"/>
      <c r="W185" s="643"/>
      <c r="X185" s="643"/>
      <c r="Y185" s="643"/>
    </row>
    <row r="186" spans="3:25" ht="15.75" x14ac:dyDescent="0.25">
      <c r="C186" s="327"/>
      <c r="D186" s="327"/>
      <c r="E186" s="307"/>
      <c r="F186" s="559" t="s">
        <v>108</v>
      </c>
      <c r="G186" s="559"/>
      <c r="H186" s="559"/>
      <c r="I186" s="559"/>
      <c r="J186" s="559"/>
      <c r="K186" s="560" t="s">
        <v>831</v>
      </c>
      <c r="L186" s="560"/>
      <c r="M186" s="560"/>
      <c r="N186" s="560"/>
      <c r="O186" s="560"/>
      <c r="P186" s="561" t="s">
        <v>832</v>
      </c>
      <c r="Q186" s="561"/>
      <c r="R186" s="561"/>
      <c r="S186" s="561"/>
      <c r="T186" s="562"/>
      <c r="U186" s="643"/>
      <c r="V186" s="643"/>
      <c r="W186" s="643"/>
      <c r="X186" s="643"/>
      <c r="Y186" s="643"/>
    </row>
    <row r="187" spans="3:25" ht="15.75" x14ac:dyDescent="0.25">
      <c r="C187" s="307" t="s">
        <v>112</v>
      </c>
      <c r="D187" s="307" t="s">
        <v>113</v>
      </c>
      <c r="E187" s="307" t="s">
        <v>119</v>
      </c>
      <c r="F187" s="328" t="s">
        <v>823</v>
      </c>
      <c r="G187" s="328" t="s">
        <v>824</v>
      </c>
      <c r="H187" s="328" t="s">
        <v>135</v>
      </c>
      <c r="I187" s="328" t="s">
        <v>31</v>
      </c>
      <c r="J187" s="328" t="s">
        <v>137</v>
      </c>
      <c r="K187" s="328" t="s">
        <v>833</v>
      </c>
      <c r="L187" s="328" t="s">
        <v>834</v>
      </c>
      <c r="M187" s="328" t="s">
        <v>835</v>
      </c>
      <c r="N187" s="328" t="s">
        <v>836</v>
      </c>
      <c r="O187" s="328" t="s">
        <v>837</v>
      </c>
      <c r="P187" s="328" t="s">
        <v>838</v>
      </c>
      <c r="Q187" s="328" t="s">
        <v>839</v>
      </c>
      <c r="R187" s="328" t="s">
        <v>840</v>
      </c>
      <c r="S187" s="328" t="s">
        <v>841</v>
      </c>
      <c r="T187" s="328" t="s">
        <v>842</v>
      </c>
      <c r="U187" s="328" t="s">
        <v>843</v>
      </c>
      <c r="V187" s="328" t="s">
        <v>844</v>
      </c>
      <c r="W187" s="328" t="s">
        <v>845</v>
      </c>
      <c r="X187" s="328" t="s">
        <v>846</v>
      </c>
      <c r="Y187" s="328" t="s">
        <v>847</v>
      </c>
    </row>
    <row r="188" spans="3:25" ht="15.75" x14ac:dyDescent="0.25">
      <c r="C188" s="512"/>
      <c r="D188" s="512" t="e">
        <f>VLOOKUP(Tabla15[[#This Row],[CÓDIGO DEL PRODUCTO Y/O SERVICIO ]],Tabla3[],2,0)</f>
        <v>#N/A</v>
      </c>
      <c r="E188" s="312"/>
      <c r="F188" s="329" t="e">
        <f>IF(F57=0,0,OP57/F57)</f>
        <v>#N/A</v>
      </c>
      <c r="G188" s="329">
        <f>IF(PRODUCTO_O_SERVICIO!G24=0,0,COSTOS_DE_PRODUCCION!OQ57/PRODUCTO_O_SERVICIO!G24)</f>
        <v>0</v>
      </c>
      <c r="H188" s="329">
        <f>IF(PRODUCTO_O_SERVICIO!K24=0,0,COSTOS_DE_PRODUCCION!OR57/PRODUCTO_O_SERVICIO!K24)</f>
        <v>0</v>
      </c>
      <c r="I188" s="329">
        <f>IF(PRODUCTO_O_SERVICIO!O24=0,0,COSTOS_DE_PRODUCCION!OS57/PRODUCTO_O_SERVICIO!O24)</f>
        <v>0</v>
      </c>
      <c r="J188" s="329">
        <f>IF(PRODUCTO_O_SERVICIO!S24=0,0,COSTOS_DE_PRODUCCION!OT57/PRODUCTO_O_SERVICIO!S24)</f>
        <v>0</v>
      </c>
      <c r="K188" s="329">
        <f>IF(PRODUCTO_O_SERVICIO!D24=0,0,COSTOS_DE_PRODUCCION!GX107/PRODUCTO_O_SERVICIO!D24)</f>
        <v>0</v>
      </c>
      <c r="L188" s="329">
        <f>IF(PRODUCTO_O_SERVICIO!G24=0,0,COSTOS_DE_PRODUCCION!GY107/PRODUCTO_O_SERVICIO!G24)</f>
        <v>0</v>
      </c>
      <c r="M188" s="329">
        <f>IF(PRODUCTO_O_SERVICIO!K24=0,0,COSTOS_DE_PRODUCCION!GZ107/PRODUCTO_O_SERVICIO!K24)</f>
        <v>0</v>
      </c>
      <c r="N188" s="329">
        <f>IF(PRODUCTO_O_SERVICIO!O24=0,0,COSTOS_DE_PRODUCCION!HA107/PRODUCTO_O_SERVICIO!O24)</f>
        <v>0</v>
      </c>
      <c r="O188" s="329">
        <f>IF(PRODUCTO_O_SERVICIO!S24=0,0,COSTOS_DE_PRODUCCION!HB107/PRODUCTO_O_SERVICIO!S24)</f>
        <v>0</v>
      </c>
      <c r="P188" s="329">
        <f>IF(PRODUCTO_O_SERVICIO!D24=0,0,COSTOS_DE_PRODUCCION!GX161/PRODUCTO_O_SERVICIO!D24)</f>
        <v>0</v>
      </c>
      <c r="Q188" s="329">
        <f>IF(PRODUCTO_O_SERVICIO!G24=0,0,COSTOS_DE_PRODUCCION!GY161/PRODUCTO_O_SERVICIO!G24)</f>
        <v>0</v>
      </c>
      <c r="R188" s="329">
        <f>IF(PRODUCTO_O_SERVICIO!K24=0,0,COSTOS_DE_PRODUCCION!GZ161/PRODUCTO_O_SERVICIO!K24)</f>
        <v>0</v>
      </c>
      <c r="S188" s="329">
        <f>IF(PRODUCTO_O_SERVICIO!O24=0,0,COSTOS_DE_PRODUCCION!HA161/PRODUCTO_O_SERVICIO!O24)</f>
        <v>0</v>
      </c>
      <c r="T188" s="329">
        <f>IF(PRODUCTO_O_SERVICIO!S24=0,0,COSTOS_DE_PRODUCCION!HB161/PRODUCTO_O_SERVICIO!S24)</f>
        <v>0</v>
      </c>
      <c r="U188" s="329" t="e">
        <f>Tabla15[[#This Row],[AÑO 1 ]]+Tabla15[[#This Row],[AÑO 1 2]]+Tabla15[[#This Row],[AÑO 1 3]]</f>
        <v>#N/A</v>
      </c>
      <c r="V188" s="329">
        <f>Tabla15[[#This Row],[AÑO 2 ]]+Tabla15[[#This Row],[AÑO 2 2]]+Tabla15[[#This Row],[AÑO 2 3]]</f>
        <v>0</v>
      </c>
      <c r="W188" s="329">
        <f>Tabla15[[#This Row],[AÑO 3 ]]+Tabla15[[#This Row],[AÑO 3 2]]+Tabla15[[#This Row],[AÑO 3 3]]</f>
        <v>0</v>
      </c>
      <c r="X188" s="329">
        <f>Tabla15[[#This Row],[AÑO 4]]+Tabla15[[#This Row],[AÑO 4 2]]+Tabla15[[#This Row],[AÑO 4 3 ]]</f>
        <v>0</v>
      </c>
      <c r="Y188" s="329">
        <f>Tabla15[[#This Row],[AÑO 5 ]]+Tabla15[[#This Row],[AÑO 5 2]]+Tabla15[[#This Row],[AÑO 5 3]]</f>
        <v>0</v>
      </c>
    </row>
  </sheetData>
  <protectedRanges>
    <protectedRange algorithmName="SHA-512" hashValue="PI1FzmXxdjjbHe5ES7fZfhUBXFhVbo1bnvXE/2xlVmPC4IwsJyGU/90VUCFxrzbzt+Y/Gh4Eo/9shgSNWz2Dkg==" saltValue="8n1+OIXmuy91Y+3uFbTkOA==" spinCount="100000" sqref="C57" name="Código"/>
  </protectedRanges>
  <mergeCells count="140">
    <mergeCell ref="OP54:OT55"/>
    <mergeCell ref="GX104:HB105"/>
    <mergeCell ref="GX158:HB159"/>
    <mergeCell ref="U185:Y186"/>
    <mergeCell ref="GS159:GW159"/>
    <mergeCell ref="GN159:GR159"/>
    <mergeCell ref="GD158:GW158"/>
    <mergeCell ref="FY105:GC105"/>
    <mergeCell ref="FJ104:GC104"/>
    <mergeCell ref="GS105:GW105"/>
    <mergeCell ref="GD105:GM105"/>
    <mergeCell ref="GD104:GW104"/>
    <mergeCell ref="GN105:GR105"/>
    <mergeCell ref="CC159:CG159"/>
    <mergeCell ref="BX159:CB159"/>
    <mergeCell ref="BN158:CG158"/>
    <mergeCell ref="CR159:CV159"/>
    <mergeCell ref="CW159:DA159"/>
    <mergeCell ref="CH158:DA158"/>
    <mergeCell ref="DQ159:DU159"/>
    <mergeCell ref="DL159:DP159"/>
    <mergeCell ref="DB158:DU158"/>
    <mergeCell ref="EZ159:FD159"/>
    <mergeCell ref="EP158:FI158"/>
    <mergeCell ref="FY159:GC159"/>
    <mergeCell ref="FT159:FX159"/>
    <mergeCell ref="EZ105:FD105"/>
    <mergeCell ref="EP105:EY105"/>
    <mergeCell ref="EP104:FI104"/>
    <mergeCell ref="DQ105:DU105"/>
    <mergeCell ref="DB104:DU104"/>
    <mergeCell ref="DL105:DP105"/>
    <mergeCell ref="FJ105:FS105"/>
    <mergeCell ref="FT105:FX105"/>
    <mergeCell ref="EK105:EO105"/>
    <mergeCell ref="EK159:EO159"/>
    <mergeCell ref="EF159:EJ159"/>
    <mergeCell ref="DV158:EO158"/>
    <mergeCell ref="DB105:DK105"/>
    <mergeCell ref="FJ158:GC158"/>
    <mergeCell ref="DV105:EF105"/>
    <mergeCell ref="EG105:EJ105"/>
    <mergeCell ref="DV104:EO104"/>
    <mergeCell ref="LD55:LH55"/>
    <mergeCell ref="LI55:LM55"/>
    <mergeCell ref="KT54:LM54"/>
    <mergeCell ref="MC55:MG55"/>
    <mergeCell ref="LX55:MB55"/>
    <mergeCell ref="LN54:MG54"/>
    <mergeCell ref="JP55:JT55"/>
    <mergeCell ref="JU55:JY55"/>
    <mergeCell ref="JF54:JY54"/>
    <mergeCell ref="KJ55:KN55"/>
    <mergeCell ref="KO55:KS55"/>
    <mergeCell ref="JZ54:KS54"/>
    <mergeCell ref="OK55:OO55"/>
    <mergeCell ref="OF55:OJ55"/>
    <mergeCell ref="NV54:OO54"/>
    <mergeCell ref="MW55:NA55"/>
    <mergeCell ref="MR55:MV55"/>
    <mergeCell ref="MH54:NA54"/>
    <mergeCell ref="NQ55:NU55"/>
    <mergeCell ref="NL55:NP55"/>
    <mergeCell ref="NB54:NU54"/>
    <mergeCell ref="B9:G9"/>
    <mergeCell ref="CR55:CV55"/>
    <mergeCell ref="CW55:DA55"/>
    <mergeCell ref="CH54:DA54"/>
    <mergeCell ref="DL55:DP55"/>
    <mergeCell ref="F41:Y41"/>
    <mergeCell ref="U55:Y55"/>
    <mergeCell ref="AO55:AS55"/>
    <mergeCell ref="Z54:AS54"/>
    <mergeCell ref="AJ55:AN55"/>
    <mergeCell ref="P55:T55"/>
    <mergeCell ref="F54:Y54"/>
    <mergeCell ref="BD55:BH55"/>
    <mergeCell ref="BI55:BM55"/>
    <mergeCell ref="AT54:BM54"/>
    <mergeCell ref="BX55:CB55"/>
    <mergeCell ref="CC55:CG55"/>
    <mergeCell ref="BN54:CG54"/>
    <mergeCell ref="EF55:EJ55"/>
    <mergeCell ref="DQ55:DU55"/>
    <mergeCell ref="DB54:DU54"/>
    <mergeCell ref="F141:O141"/>
    <mergeCell ref="IV55:IZ55"/>
    <mergeCell ref="BX105:CB105"/>
    <mergeCell ref="CC105:CG105"/>
    <mergeCell ref="BN104:CG104"/>
    <mergeCell ref="AT105:BC105"/>
    <mergeCell ref="CW105:DA105"/>
    <mergeCell ref="CH105:CQ105"/>
    <mergeCell ref="CH104:DA104"/>
    <mergeCell ref="CR105:CV105"/>
    <mergeCell ref="BD105:BH105"/>
    <mergeCell ref="BI105:BM105"/>
    <mergeCell ref="AT104:BM104"/>
    <mergeCell ref="BN105:BW105"/>
    <mergeCell ref="P105:T105"/>
    <mergeCell ref="U105:Y105"/>
    <mergeCell ref="F104:Y104"/>
    <mergeCell ref="AJ105:AN105"/>
    <mergeCell ref="AO105:AS105"/>
    <mergeCell ref="Z104:AS104"/>
    <mergeCell ref="F89:O89"/>
    <mergeCell ref="BI159:BM159"/>
    <mergeCell ref="BD159:BH159"/>
    <mergeCell ref="AT158:BM158"/>
    <mergeCell ref="JA55:JE55"/>
    <mergeCell ref="IL54:JE54"/>
    <mergeCell ref="FT55:FX55"/>
    <mergeCell ref="FY55:GC55"/>
    <mergeCell ref="FJ54:GC54"/>
    <mergeCell ref="IG55:IK55"/>
    <mergeCell ref="IB55:IF55"/>
    <mergeCell ref="HR54:IK54"/>
    <mergeCell ref="GN55:GR55"/>
    <mergeCell ref="GS55:GW55"/>
    <mergeCell ref="GD54:GW54"/>
    <mergeCell ref="HH55:HL55"/>
    <mergeCell ref="HM55:HQ55"/>
    <mergeCell ref="GX54:HQ54"/>
    <mergeCell ref="EK55:EO55"/>
    <mergeCell ref="DV54:EO54"/>
    <mergeCell ref="EZ55:FD55"/>
    <mergeCell ref="FE55:FI55"/>
    <mergeCell ref="EP54:FI54"/>
    <mergeCell ref="FE105:FI105"/>
    <mergeCell ref="FE159:FI159"/>
    <mergeCell ref="F186:J186"/>
    <mergeCell ref="K186:O186"/>
    <mergeCell ref="P186:T186"/>
    <mergeCell ref="C185:T185"/>
    <mergeCell ref="U159:Y159"/>
    <mergeCell ref="P159:T159"/>
    <mergeCell ref="F158:Y158"/>
    <mergeCell ref="AO159:AS159"/>
    <mergeCell ref="AJ159:AN159"/>
    <mergeCell ref="Z158:AS158"/>
  </mergeCells>
  <phoneticPr fontId="17" type="noConversion"/>
  <pageMargins left="0.7" right="0.7" top="0.75" bottom="0.75" header="0.3" footer="0.3"/>
  <pageSetup paperSize="9" orientation="portrait" horizontalDpi="0" verticalDpi="0" r:id="rId1"/>
  <drawing r:id="rId2"/>
  <legacyDrawing r:id="rId3"/>
  <tableParts count="10">
    <tablePart r:id="rId4"/>
    <tablePart r:id="rId5"/>
    <tablePart r:id="rId6"/>
    <tablePart r:id="rId7"/>
    <tablePart r:id="rId8"/>
    <tablePart r:id="rId9"/>
    <tablePart r:id="rId10"/>
    <tablePart r:id="rId11"/>
    <tablePart r:id="rId12"/>
    <tablePart r:id="rId1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6"/>
  <dimension ref="D5:X414"/>
  <sheetViews>
    <sheetView showGridLines="0" zoomScaleNormal="100" workbookViewId="0"/>
  </sheetViews>
  <sheetFormatPr baseColWidth="10" defaultColWidth="11.42578125" defaultRowHeight="15" x14ac:dyDescent="0.25"/>
  <cols>
    <col min="1" max="3" width="11.42578125" style="2"/>
    <col min="4" max="4" width="15.42578125" style="2" bestFit="1" customWidth="1"/>
    <col min="5" max="5" width="54.28515625" style="2" bestFit="1" customWidth="1"/>
    <col min="6" max="6" width="36.28515625" style="2" bestFit="1" customWidth="1"/>
    <col min="7" max="7" width="43.85546875" style="2" bestFit="1" customWidth="1"/>
    <col min="8" max="8" width="42.5703125" style="2" bestFit="1" customWidth="1"/>
    <col min="9" max="9" width="34.28515625" style="2" bestFit="1" customWidth="1"/>
    <col min="10" max="10" width="41.85546875" style="2" bestFit="1" customWidth="1"/>
    <col min="11" max="11" width="42.5703125" style="2" bestFit="1" customWidth="1"/>
    <col min="12" max="12" width="34.28515625" style="2" bestFit="1" customWidth="1"/>
    <col min="13" max="13" width="41.85546875" style="2" bestFit="1" customWidth="1"/>
    <col min="14" max="14" width="42.5703125" style="2" bestFit="1" customWidth="1"/>
    <col min="15" max="15" width="34.28515625" style="2" bestFit="1" customWidth="1"/>
    <col min="16" max="16" width="41.85546875" style="2" bestFit="1" customWidth="1"/>
    <col min="17" max="17" width="44.140625" style="2" bestFit="1" customWidth="1"/>
    <col min="18" max="18" width="35.85546875" style="2" bestFit="1" customWidth="1"/>
    <col min="19" max="19" width="41.85546875" style="2" bestFit="1" customWidth="1"/>
    <col min="20" max="20" width="42.5703125" style="2" bestFit="1" customWidth="1"/>
    <col min="21" max="21" width="17.7109375" style="2" customWidth="1"/>
    <col min="22" max="22" width="16.7109375" style="2" customWidth="1"/>
    <col min="23" max="23" width="20.28515625" style="2" customWidth="1"/>
    <col min="24" max="24" width="9.5703125" style="2" bestFit="1" customWidth="1"/>
    <col min="25" max="16384" width="11.42578125" style="2"/>
  </cols>
  <sheetData>
    <row r="5" spans="4:15" ht="15.75" thickBot="1" x14ac:dyDescent="0.3"/>
    <row r="6" spans="4:15" ht="16.5" thickBot="1" x14ac:dyDescent="0.3">
      <c r="D6" s="672" t="s">
        <v>848</v>
      </c>
      <c r="E6" s="673"/>
      <c r="F6" s="673"/>
      <c r="G6" s="673"/>
      <c r="H6" s="673"/>
      <c r="I6" s="673"/>
      <c r="J6" s="673"/>
      <c r="K6" s="673"/>
      <c r="L6" s="673"/>
      <c r="M6" s="673"/>
      <c r="N6" s="673"/>
      <c r="O6" s="674"/>
    </row>
    <row r="7" spans="4:15" ht="16.5" thickBot="1" x14ac:dyDescent="0.3">
      <c r="D7" s="38"/>
      <c r="E7" s="56" t="s">
        <v>79</v>
      </c>
      <c r="F7" s="677" t="str">
        <f>BASES!D11</f>
        <v>AÑO 1</v>
      </c>
      <c r="G7" s="678"/>
      <c r="H7" s="677" t="str">
        <f>BASES!E11</f>
        <v>AÑO 2</v>
      </c>
      <c r="I7" s="678"/>
      <c r="J7" s="677" t="str">
        <f>BASES!F11</f>
        <v>AÑO 3</v>
      </c>
      <c r="K7" s="678"/>
      <c r="L7" s="677" t="str">
        <f>BASES!G11</f>
        <v>AÑO 4</v>
      </c>
      <c r="M7" s="678"/>
      <c r="N7" s="677" t="str">
        <f>BASES!H11</f>
        <v>AÑO 5</v>
      </c>
      <c r="O7" s="678"/>
    </row>
    <row r="8" spans="4:15" ht="15.75" x14ac:dyDescent="0.25">
      <c r="D8" s="10" t="s">
        <v>849</v>
      </c>
      <c r="E8" s="10" t="s">
        <v>850</v>
      </c>
      <c r="F8" s="10" t="s">
        <v>851</v>
      </c>
      <c r="G8" s="10" t="s">
        <v>852</v>
      </c>
      <c r="H8" s="10" t="s">
        <v>853</v>
      </c>
      <c r="I8" s="10" t="s">
        <v>854</v>
      </c>
      <c r="J8" s="10" t="s">
        <v>855</v>
      </c>
      <c r="K8" s="10" t="s">
        <v>856</v>
      </c>
      <c r="L8" s="10" t="s">
        <v>857</v>
      </c>
      <c r="M8" s="10" t="s">
        <v>858</v>
      </c>
      <c r="N8" s="10" t="s">
        <v>859</v>
      </c>
      <c r="O8" s="10" t="s">
        <v>860</v>
      </c>
    </row>
    <row r="9" spans="4:15" ht="15.75" x14ac:dyDescent="0.25">
      <c r="D9" s="503"/>
      <c r="E9" s="503" t="e">
        <f>VLOOKUP(Tabla2[[#This Row],[CÓDIGO ]],Tabla3[],2,0)</f>
        <v>#N/A</v>
      </c>
      <c r="F9" s="53" t="e">
        <f>VLOOKUP(Tabla2[[#This Row],[CÓDIGO ]],Tabla3[],4,0)</f>
        <v>#N/A</v>
      </c>
      <c r="G9" s="53" t="e">
        <f>Tabla2[[#This Row],[Precio de venta año 1 ]]*VLOOKUP(Tabla2[[#This Row],[CÓDIGO ]],Tabla3[],3,FALSE)</f>
        <v>#N/A</v>
      </c>
      <c r="H9" s="53" t="e">
        <f>VLOOKUP(Tabla2[[#This Row],[CÓDIGO ]],Tabla3[],7,FALSE)</f>
        <v>#N/A</v>
      </c>
      <c r="I9" s="53" t="e">
        <f>Tabla2[[#This Row],[Precio de venta año 2 ]]*VLOOKUP(Tabla2[[#This Row],[CÓDIGO ]],Tabla3[],6,FALSE)</f>
        <v>#N/A</v>
      </c>
      <c r="J9" s="53" t="e">
        <f>VLOOKUP(Tabla2[[#This Row],[CÓDIGO ]],Tabla3[],11,FALSE)</f>
        <v>#N/A</v>
      </c>
      <c r="K9" s="53" t="e">
        <f>Tabla2[[#This Row],[Precio de venta año 3 ]]*VLOOKUP(Tabla2[[#This Row],[CÓDIGO ]],Tabla3[],10,FALSE)</f>
        <v>#N/A</v>
      </c>
      <c r="L9" s="53" t="e">
        <f>VLOOKUP(Tabla2[[#This Row],[CÓDIGO ]],Tabla3[],15,FALSE)</f>
        <v>#N/A</v>
      </c>
      <c r="M9" s="53" t="e">
        <f>Tabla2[[#This Row],[Precio de venta año 4 ]]*VLOOKUP(Tabla2[[#This Row],[CÓDIGO ]],Tabla3[],14,FALSE)</f>
        <v>#N/A</v>
      </c>
      <c r="N9" s="53" t="e">
        <f>VLOOKUP(Tabla2[[#This Row],[CÓDIGO ]],Tabla3[],19,FALSE)</f>
        <v>#N/A</v>
      </c>
      <c r="O9" s="53" t="e">
        <f>Tabla2[[#This Row],[Precio de venta año 5]]*VLOOKUP(Tabla2[[#This Row],[CÓDIGO ]],Tabla3[],18,FALSE)</f>
        <v>#N/A</v>
      </c>
    </row>
    <row r="10" spans="4:15" customFormat="1" ht="15.75" thickBot="1" x14ac:dyDescent="0.3"/>
    <row r="11" spans="4:15" ht="16.5" thickBot="1" x14ac:dyDescent="0.3">
      <c r="D11" s="537" t="s">
        <v>103</v>
      </c>
      <c r="E11" s="538"/>
      <c r="F11" s="679"/>
      <c r="G11" s="53" t="e">
        <f>SUM(Tabla2[Ingresos totales año 1])</f>
        <v>#N/A</v>
      </c>
      <c r="H11" s="7"/>
      <c r="I11" s="53" t="e">
        <f>SUM(Tabla2[[Ingresos totales año 2 ]])</f>
        <v>#N/A</v>
      </c>
      <c r="J11" s="7"/>
      <c r="K11" s="53" t="e">
        <f>SUM(Tabla2[[Ingresos totales año 3 ]])</f>
        <v>#N/A</v>
      </c>
      <c r="L11" s="7"/>
      <c r="M11" s="53" t="e">
        <f>SUM(Tabla2[Ingresos totales año 4])</f>
        <v>#N/A</v>
      </c>
      <c r="N11" s="7"/>
      <c r="O11" s="53" t="e">
        <f>SUM(Tabla2[Ingresos totales año 5])</f>
        <v>#N/A</v>
      </c>
    </row>
    <row r="12" spans="4:15" ht="16.5" thickBot="1" x14ac:dyDescent="0.3">
      <c r="D12" s="537" t="s">
        <v>861</v>
      </c>
      <c r="E12" s="538"/>
      <c r="F12" s="679"/>
      <c r="G12" s="53" t="e">
        <f>COSTOS_DE_PRODUCCION!D178</f>
        <v>#N/A</v>
      </c>
      <c r="H12" s="7"/>
      <c r="I12" s="53" t="e">
        <f>COSTOS_DE_PRODUCCION!F178</f>
        <v>#N/A</v>
      </c>
      <c r="J12" s="7"/>
      <c r="K12" s="53" t="e">
        <f>COSTOS_DE_PRODUCCION!G178</f>
        <v>#N/A</v>
      </c>
      <c r="L12" s="7"/>
      <c r="M12" s="53" t="e">
        <f>COSTOS_DE_PRODUCCION!H178</f>
        <v>#N/A</v>
      </c>
      <c r="N12" s="7"/>
      <c r="O12" s="53" t="e">
        <f>COSTOS_DE_PRODUCCION!I178</f>
        <v>#N/A</v>
      </c>
    </row>
    <row r="13" spans="4:15" ht="16.5" thickBot="1" x14ac:dyDescent="0.3">
      <c r="D13" s="537" t="s">
        <v>862</v>
      </c>
      <c r="E13" s="538"/>
      <c r="F13" s="679"/>
      <c r="G13" s="54" t="e">
        <f>G11-G12</f>
        <v>#N/A</v>
      </c>
      <c r="H13" s="94"/>
      <c r="I13" s="54" t="e">
        <f>I11-I12</f>
        <v>#N/A</v>
      </c>
      <c r="J13" s="94"/>
      <c r="K13" s="54" t="e">
        <f>K11-K12</f>
        <v>#N/A</v>
      </c>
      <c r="L13" s="94"/>
      <c r="M13" s="54" t="e">
        <f>M11-M12</f>
        <v>#N/A</v>
      </c>
      <c r="N13" s="94"/>
      <c r="O13" s="54" t="e">
        <f>O11-O12</f>
        <v>#N/A</v>
      </c>
    </row>
    <row r="18" spans="4:20" ht="15.75" thickBot="1" x14ac:dyDescent="0.3"/>
    <row r="19" spans="4:20" ht="16.5" thickBot="1" x14ac:dyDescent="0.3">
      <c r="D19" s="664" t="s">
        <v>863</v>
      </c>
      <c r="E19" s="665"/>
      <c r="F19" s="665"/>
      <c r="G19" s="665"/>
      <c r="H19" s="665"/>
      <c r="I19" s="665"/>
      <c r="J19" s="665"/>
      <c r="K19" s="665"/>
      <c r="L19" s="665"/>
      <c r="M19" s="665"/>
      <c r="N19" s="665"/>
      <c r="O19" s="665"/>
      <c r="P19" s="665"/>
      <c r="Q19" s="665"/>
      <c r="R19" s="665"/>
      <c r="S19" s="665"/>
      <c r="T19" s="666"/>
    </row>
    <row r="20" spans="4:20" ht="16.5" thickBot="1" x14ac:dyDescent="0.3">
      <c r="E20" s="55" t="s">
        <v>79</v>
      </c>
      <c r="F20" s="668" t="str">
        <f>BASES!D11</f>
        <v>AÑO 1</v>
      </c>
      <c r="G20" s="669"/>
      <c r="H20" s="669"/>
      <c r="I20" s="668" t="str">
        <f>BASES!E11</f>
        <v>AÑO 2</v>
      </c>
      <c r="J20" s="669"/>
      <c r="K20" s="669"/>
      <c r="L20" s="668" t="str">
        <f>BASES!F11</f>
        <v>AÑO 3</v>
      </c>
      <c r="M20" s="669"/>
      <c r="N20" s="669"/>
      <c r="O20" s="668" t="str">
        <f>BASES!G11</f>
        <v>AÑO 4</v>
      </c>
      <c r="P20" s="669"/>
      <c r="Q20" s="669"/>
      <c r="R20" s="668" t="str">
        <f>BASES!H11</f>
        <v>AÑO 5</v>
      </c>
      <c r="S20" s="669"/>
      <c r="T20" s="669"/>
    </row>
    <row r="21" spans="4:20" ht="15.75" x14ac:dyDescent="0.25">
      <c r="D21" s="39" t="s">
        <v>849</v>
      </c>
      <c r="E21" s="39" t="s">
        <v>850</v>
      </c>
      <c r="F21" s="39" t="s">
        <v>864</v>
      </c>
      <c r="G21" s="330" t="s">
        <v>865</v>
      </c>
      <c r="H21" s="39" t="s">
        <v>866</v>
      </c>
      <c r="I21" s="39" t="s">
        <v>867</v>
      </c>
      <c r="J21" s="330" t="s">
        <v>868</v>
      </c>
      <c r="K21" s="39" t="s">
        <v>869</v>
      </c>
      <c r="L21" s="39" t="s">
        <v>870</v>
      </c>
      <c r="M21" s="330" t="s">
        <v>871</v>
      </c>
      <c r="N21" s="39" t="s">
        <v>872</v>
      </c>
      <c r="O21" s="39" t="s">
        <v>873</v>
      </c>
      <c r="P21" s="330" t="s">
        <v>874</v>
      </c>
      <c r="Q21" s="39" t="s">
        <v>875</v>
      </c>
      <c r="R21" s="39" t="s">
        <v>876</v>
      </c>
      <c r="S21" s="330" t="s">
        <v>877</v>
      </c>
      <c r="T21" s="39" t="s">
        <v>878</v>
      </c>
    </row>
    <row r="22" spans="4:20" ht="15.75" x14ac:dyDescent="0.25">
      <c r="D22" s="503"/>
      <c r="E22" s="503" t="e">
        <f>VLOOKUP(Tabla5[[#This Row],[CÓDIGO ]],Tabla3[],2,0)</f>
        <v>#N/A</v>
      </c>
      <c r="F22" s="514" t="e">
        <f>VLOOKUP(Tabla5[[#This Row],[CÓDIGO ]],Tabla3[],4,0)</f>
        <v>#N/A</v>
      </c>
      <c r="G22" s="514" t="e">
        <f>VLOOKUP(Tabla5[[#This Row],[CÓDIGO ]],Tabla15[],18,0)</f>
        <v>#N/A</v>
      </c>
      <c r="H22" s="53" t="e">
        <f>Tabla5[[#This Row],[Precio de venta unitario año 1]]-Tabla5[[#This Row],[(-) Costo de producción unitario año 1]]</f>
        <v>#N/A</v>
      </c>
      <c r="I22" s="53" t="e">
        <f>VLOOKUP(Tabla5[[#This Row],[CÓDIGO ]],Tabla3[],7,0)</f>
        <v>#N/A</v>
      </c>
      <c r="J22" s="53" t="e">
        <f>VLOOKUP(Tabla5[[#This Row],[CÓDIGO ]],Tabla15[],19,0)</f>
        <v>#N/A</v>
      </c>
      <c r="K22" s="53" t="e">
        <f>Tabla5[[#This Row],[Precio de venta unitario año 2]]-Tabla5[[#This Row],[(-) Costo de producción unitario año 2]]</f>
        <v>#N/A</v>
      </c>
      <c r="L22" s="53" t="e">
        <f>VLOOKUP(Tabla5[[#This Row],[CÓDIGO ]],Tabla3[],11,0)</f>
        <v>#N/A</v>
      </c>
      <c r="M22" s="53" t="e">
        <f>VLOOKUP(Tabla5[[#This Row],[CÓDIGO ]],Tabla15[],20,0)</f>
        <v>#N/A</v>
      </c>
      <c r="N22" s="53" t="e">
        <f>Tabla5[[#This Row],[Precio de venta unitario año 3]]-Tabla5[[#This Row],[(-) Costo de producción unitario año 3]]</f>
        <v>#N/A</v>
      </c>
      <c r="O22" s="53" t="e">
        <f>VLOOKUP(Tabla5[[#This Row],[CÓDIGO ]],Tabla3[],15,0)</f>
        <v>#N/A</v>
      </c>
      <c r="P22" s="53" t="e">
        <f>VLOOKUP(Tabla5[[#This Row],[CÓDIGO ]],Tabla15[],21,0)</f>
        <v>#N/A</v>
      </c>
      <c r="Q22" s="53" t="e">
        <f>Tabla5[[#This Row],[Precio de venta unitario año 4]]-Tabla5[[#This Row],[(-) Costo de producción unitario año 4]]</f>
        <v>#N/A</v>
      </c>
      <c r="R22" s="53" t="e">
        <f>VLOOKUP(Tabla5[[#This Row],[CÓDIGO ]],Tabla3[],19,0)</f>
        <v>#N/A</v>
      </c>
      <c r="S22" s="53" t="e">
        <f>VLOOKUP(Tabla5[[#This Row],[CÓDIGO ]],Tabla15[],22,0)</f>
        <v>#N/A</v>
      </c>
      <c r="T22" s="53" t="e">
        <f>Tabla5[[#This Row],[Precio de venta unitario año 5]]-Tabla5[[#This Row],[(-) Costo de producción unitario año 5]]</f>
        <v>#N/A</v>
      </c>
    </row>
    <row r="25" spans="4:20" ht="15.75" thickBot="1" x14ac:dyDescent="0.3"/>
    <row r="26" spans="4:20" ht="15" customHeight="1" x14ac:dyDescent="0.25">
      <c r="D26" s="655" t="s">
        <v>879</v>
      </c>
      <c r="E26" s="656"/>
      <c r="F26" s="656"/>
      <c r="G26" s="657"/>
      <c r="I26" s="667" t="s">
        <v>880</v>
      </c>
      <c r="J26" s="667"/>
      <c r="K26" s="667"/>
    </row>
    <row r="27" spans="4:20" x14ac:dyDescent="0.25">
      <c r="D27" s="658"/>
      <c r="E27" s="659"/>
      <c r="F27" s="659"/>
      <c r="G27" s="660"/>
      <c r="I27" s="667"/>
      <c r="J27" s="667"/>
      <c r="K27" s="667"/>
    </row>
    <row r="28" spans="4:20" x14ac:dyDescent="0.25">
      <c r="D28" s="658"/>
      <c r="E28" s="659"/>
      <c r="F28" s="659"/>
      <c r="G28" s="660"/>
      <c r="I28" s="667"/>
      <c r="J28" s="667"/>
      <c r="K28" s="667"/>
    </row>
    <row r="29" spans="4:20" ht="15.75" customHeight="1" thickBot="1" x14ac:dyDescent="0.3">
      <c r="D29" s="661"/>
      <c r="E29" s="662"/>
      <c r="F29" s="662"/>
      <c r="G29" s="663"/>
      <c r="I29" s="667"/>
      <c r="J29" s="667"/>
      <c r="K29" s="667"/>
    </row>
    <row r="31" spans="4:20" ht="15.75" x14ac:dyDescent="0.25">
      <c r="E31" s="93" t="s">
        <v>881</v>
      </c>
      <c r="F31" s="93" t="s">
        <v>27</v>
      </c>
      <c r="G31" s="66" t="str">
        <f>BASES!D11</f>
        <v>AÑO 1</v>
      </c>
      <c r="H31" s="66" t="str">
        <f>BASES!E11</f>
        <v>AÑO 2</v>
      </c>
      <c r="I31" s="66" t="str">
        <f>BASES!F11</f>
        <v>AÑO 3</v>
      </c>
      <c r="J31" s="66" t="str">
        <f>BASES!G11</f>
        <v>AÑO 4</v>
      </c>
      <c r="K31" s="66" t="str">
        <f>BASES!H11</f>
        <v>AÑO 5</v>
      </c>
    </row>
    <row r="32" spans="4:20" ht="15.75" x14ac:dyDescent="0.25">
      <c r="E32" s="67" t="s">
        <v>882</v>
      </c>
      <c r="F32" s="6"/>
      <c r="G32" s="6"/>
      <c r="H32" s="6"/>
      <c r="I32" s="6"/>
      <c r="J32" s="6"/>
      <c r="K32" s="6"/>
    </row>
    <row r="34" spans="4:24" ht="15.75" x14ac:dyDescent="0.25">
      <c r="E34" s="646" t="s">
        <v>879</v>
      </c>
      <c r="F34" s="647"/>
      <c r="G34" s="647"/>
      <c r="H34" s="647"/>
      <c r="I34" s="647"/>
      <c r="J34" s="647"/>
      <c r="K34" s="647"/>
      <c r="L34" s="647"/>
      <c r="M34" s="647"/>
      <c r="N34" s="647"/>
      <c r="O34" s="647"/>
      <c r="P34" s="647"/>
      <c r="Q34" s="647"/>
      <c r="R34" s="647"/>
      <c r="S34" s="647"/>
      <c r="T34" s="647"/>
      <c r="U34" s="647"/>
      <c r="V34" s="647"/>
      <c r="W34" s="648"/>
    </row>
    <row r="35" spans="4:24" ht="15.75" x14ac:dyDescent="0.25">
      <c r="E35" s="67" t="s">
        <v>883</v>
      </c>
      <c r="F35" s="653" t="s">
        <v>884</v>
      </c>
      <c r="G35" s="654"/>
      <c r="H35" s="654"/>
      <c r="I35" s="645" t="str">
        <f>BASES!D11</f>
        <v>AÑO 1</v>
      </c>
      <c r="J35" s="645"/>
      <c r="K35" s="645"/>
      <c r="L35" s="645" t="str">
        <f>BASES!E11</f>
        <v>AÑO 2</v>
      </c>
      <c r="M35" s="645"/>
      <c r="N35" s="645"/>
      <c r="O35" s="645" t="str">
        <f>BASES!F11</f>
        <v>AÑO 3</v>
      </c>
      <c r="P35" s="645"/>
      <c r="Q35" s="645"/>
      <c r="R35" s="645" t="str">
        <f>BASES!G11</f>
        <v>AÑO 4</v>
      </c>
      <c r="S35" s="645"/>
      <c r="T35" s="645"/>
      <c r="U35" s="645" t="str">
        <f>BASES!H11</f>
        <v>AÑO 5</v>
      </c>
      <c r="V35" s="645"/>
      <c r="W35" s="645"/>
    </row>
    <row r="36" spans="4:24" ht="15.75" x14ac:dyDescent="0.25">
      <c r="E36" s="68" t="s">
        <v>885</v>
      </c>
      <c r="F36" s="67" t="s">
        <v>886</v>
      </c>
      <c r="G36" s="67" t="s">
        <v>887</v>
      </c>
      <c r="H36" s="67" t="s">
        <v>888</v>
      </c>
      <c r="I36" s="67" t="s">
        <v>886</v>
      </c>
      <c r="J36" s="67" t="s">
        <v>887</v>
      </c>
      <c r="K36" s="67" t="s">
        <v>888</v>
      </c>
      <c r="L36" s="67" t="s">
        <v>886</v>
      </c>
      <c r="M36" s="67" t="s">
        <v>887</v>
      </c>
      <c r="N36" s="67" t="s">
        <v>888</v>
      </c>
      <c r="O36" s="67" t="s">
        <v>886</v>
      </c>
      <c r="P36" s="67" t="s">
        <v>887</v>
      </c>
      <c r="Q36" s="67" t="s">
        <v>888</v>
      </c>
      <c r="R36" s="67" t="s">
        <v>886</v>
      </c>
      <c r="S36" s="67" t="s">
        <v>887</v>
      </c>
      <c r="T36" s="67" t="s">
        <v>888</v>
      </c>
      <c r="U36" s="67" t="s">
        <v>886</v>
      </c>
      <c r="V36" s="67" t="s">
        <v>887</v>
      </c>
      <c r="W36" s="67" t="s">
        <v>888</v>
      </c>
      <c r="X36" s="69" t="s">
        <v>889</v>
      </c>
    </row>
    <row r="37" spans="4:24" ht="15.75" x14ac:dyDescent="0.25">
      <c r="E37" s="51"/>
      <c r="F37" s="57"/>
      <c r="G37" s="58"/>
      <c r="H37" s="71">
        <f t="shared" ref="H37:H43" si="0">F37*G37</f>
        <v>0</v>
      </c>
      <c r="I37" s="57"/>
      <c r="J37" s="58"/>
      <c r="K37" s="73">
        <f t="shared" ref="K37:K43" si="1">I37*J37</f>
        <v>0</v>
      </c>
      <c r="L37" s="57"/>
      <c r="M37" s="58"/>
      <c r="N37" s="71">
        <f t="shared" ref="N37:N43" si="2">L37*M37</f>
        <v>0</v>
      </c>
      <c r="O37" s="59"/>
      <c r="P37" s="60"/>
      <c r="Q37" s="71">
        <f t="shared" ref="Q37:Q43" si="3">O37*P37</f>
        <v>0</v>
      </c>
      <c r="R37" s="57"/>
      <c r="S37" s="58"/>
      <c r="T37" s="71">
        <f t="shared" ref="T37:T43" si="4">R37*S37</f>
        <v>0</v>
      </c>
      <c r="U37" s="57"/>
      <c r="V37" s="58"/>
      <c r="W37" s="71">
        <f t="shared" ref="W37:W43" si="5">U37*V37</f>
        <v>0</v>
      </c>
      <c r="X37" s="69">
        <f>BASES!G34</f>
        <v>20</v>
      </c>
    </row>
    <row r="38" spans="4:24" ht="15.75" x14ac:dyDescent="0.25">
      <c r="E38" s="51"/>
      <c r="F38" s="57"/>
      <c r="G38" s="58"/>
      <c r="H38" s="71">
        <f t="shared" si="0"/>
        <v>0</v>
      </c>
      <c r="I38" s="57"/>
      <c r="J38" s="58"/>
      <c r="K38" s="73">
        <f t="shared" si="1"/>
        <v>0</v>
      </c>
      <c r="L38" s="57"/>
      <c r="M38" s="58"/>
      <c r="N38" s="71">
        <f t="shared" si="2"/>
        <v>0</v>
      </c>
      <c r="O38" s="59"/>
      <c r="P38" s="60"/>
      <c r="Q38" s="71">
        <f t="shared" si="3"/>
        <v>0</v>
      </c>
      <c r="R38" s="57"/>
      <c r="S38" s="58"/>
      <c r="T38" s="71">
        <f t="shared" si="4"/>
        <v>0</v>
      </c>
      <c r="U38" s="57"/>
      <c r="V38" s="58"/>
      <c r="W38" s="71">
        <f t="shared" si="5"/>
        <v>0</v>
      </c>
      <c r="X38" s="69">
        <f t="shared" ref="X38:X43" si="6">X37</f>
        <v>20</v>
      </c>
    </row>
    <row r="39" spans="4:24" ht="15.75" x14ac:dyDescent="0.25">
      <c r="E39" s="51"/>
      <c r="F39" s="57"/>
      <c r="G39" s="58"/>
      <c r="H39" s="71">
        <f t="shared" si="0"/>
        <v>0</v>
      </c>
      <c r="I39" s="57"/>
      <c r="J39" s="58"/>
      <c r="K39" s="73">
        <f t="shared" si="1"/>
        <v>0</v>
      </c>
      <c r="L39" s="57"/>
      <c r="M39" s="58"/>
      <c r="N39" s="71">
        <f t="shared" si="2"/>
        <v>0</v>
      </c>
      <c r="O39" s="59"/>
      <c r="P39" s="60"/>
      <c r="Q39" s="71">
        <f t="shared" si="3"/>
        <v>0</v>
      </c>
      <c r="R39" s="57"/>
      <c r="S39" s="58"/>
      <c r="T39" s="71">
        <f t="shared" si="4"/>
        <v>0</v>
      </c>
      <c r="U39" s="57"/>
      <c r="V39" s="58"/>
      <c r="W39" s="71">
        <f t="shared" si="5"/>
        <v>0</v>
      </c>
      <c r="X39" s="69">
        <f t="shared" si="6"/>
        <v>20</v>
      </c>
    </row>
    <row r="40" spans="4:24" ht="15.75" x14ac:dyDescent="0.25">
      <c r="E40" s="51"/>
      <c r="F40" s="57"/>
      <c r="G40" s="58"/>
      <c r="H40" s="71">
        <f t="shared" si="0"/>
        <v>0</v>
      </c>
      <c r="I40" s="57"/>
      <c r="J40" s="58"/>
      <c r="K40" s="73">
        <f t="shared" si="1"/>
        <v>0</v>
      </c>
      <c r="L40" s="57"/>
      <c r="M40" s="58"/>
      <c r="N40" s="71">
        <f t="shared" si="2"/>
        <v>0</v>
      </c>
      <c r="O40" s="59"/>
      <c r="P40" s="60"/>
      <c r="Q40" s="71">
        <f t="shared" si="3"/>
        <v>0</v>
      </c>
      <c r="R40" s="57"/>
      <c r="S40" s="58"/>
      <c r="T40" s="71">
        <f t="shared" si="4"/>
        <v>0</v>
      </c>
      <c r="U40" s="57"/>
      <c r="V40" s="58"/>
      <c r="W40" s="71">
        <f t="shared" si="5"/>
        <v>0</v>
      </c>
      <c r="X40" s="69">
        <f t="shared" si="6"/>
        <v>20</v>
      </c>
    </row>
    <row r="41" spans="4:24" ht="15.75" x14ac:dyDescent="0.25">
      <c r="E41" s="51"/>
      <c r="F41" s="57"/>
      <c r="G41" s="58"/>
      <c r="H41" s="71">
        <f t="shared" si="0"/>
        <v>0</v>
      </c>
      <c r="I41" s="57"/>
      <c r="J41" s="58"/>
      <c r="K41" s="73">
        <f t="shared" si="1"/>
        <v>0</v>
      </c>
      <c r="L41" s="57"/>
      <c r="M41" s="58"/>
      <c r="N41" s="71">
        <f t="shared" si="2"/>
        <v>0</v>
      </c>
      <c r="O41" s="59"/>
      <c r="P41" s="60"/>
      <c r="Q41" s="71">
        <f t="shared" si="3"/>
        <v>0</v>
      </c>
      <c r="R41" s="57"/>
      <c r="S41" s="58"/>
      <c r="T41" s="71">
        <f t="shared" si="4"/>
        <v>0</v>
      </c>
      <c r="U41" s="57"/>
      <c r="V41" s="58"/>
      <c r="W41" s="71">
        <f t="shared" si="5"/>
        <v>0</v>
      </c>
      <c r="X41" s="69">
        <f t="shared" si="6"/>
        <v>20</v>
      </c>
    </row>
    <row r="42" spans="4:24" ht="15.75" x14ac:dyDescent="0.25">
      <c r="E42" s="51"/>
      <c r="F42" s="57"/>
      <c r="G42" s="58"/>
      <c r="H42" s="71">
        <f t="shared" si="0"/>
        <v>0</v>
      </c>
      <c r="I42" s="57"/>
      <c r="J42" s="58"/>
      <c r="K42" s="73">
        <f t="shared" si="1"/>
        <v>0</v>
      </c>
      <c r="L42" s="57"/>
      <c r="M42" s="58"/>
      <c r="N42" s="71">
        <f t="shared" si="2"/>
        <v>0</v>
      </c>
      <c r="O42" s="59"/>
      <c r="P42" s="60"/>
      <c r="Q42" s="71">
        <f t="shared" si="3"/>
        <v>0</v>
      </c>
      <c r="R42" s="57"/>
      <c r="S42" s="58"/>
      <c r="T42" s="71">
        <f t="shared" si="4"/>
        <v>0</v>
      </c>
      <c r="U42" s="57"/>
      <c r="V42" s="58"/>
      <c r="W42" s="71">
        <f t="shared" si="5"/>
        <v>0</v>
      </c>
      <c r="X42" s="69">
        <f t="shared" si="6"/>
        <v>20</v>
      </c>
    </row>
    <row r="43" spans="4:24" ht="15.75" x14ac:dyDescent="0.25">
      <c r="E43" s="61"/>
      <c r="F43" s="62"/>
      <c r="G43" s="63"/>
      <c r="H43" s="71">
        <f t="shared" si="0"/>
        <v>0</v>
      </c>
      <c r="I43" s="57"/>
      <c r="J43" s="58"/>
      <c r="K43" s="73">
        <f t="shared" si="1"/>
        <v>0</v>
      </c>
      <c r="L43" s="57"/>
      <c r="M43" s="58"/>
      <c r="N43" s="71">
        <f t="shared" si="2"/>
        <v>0</v>
      </c>
      <c r="O43" s="59"/>
      <c r="P43" s="60"/>
      <c r="Q43" s="71">
        <f t="shared" si="3"/>
        <v>0</v>
      </c>
      <c r="R43" s="57"/>
      <c r="S43" s="58"/>
      <c r="T43" s="71">
        <f t="shared" si="4"/>
        <v>0</v>
      </c>
      <c r="U43" s="57"/>
      <c r="V43" s="58"/>
      <c r="W43" s="71">
        <f t="shared" si="5"/>
        <v>0</v>
      </c>
      <c r="X43" s="69">
        <f t="shared" si="6"/>
        <v>20</v>
      </c>
    </row>
    <row r="44" spans="4:24" ht="15.75" x14ac:dyDescent="0.25">
      <c r="E44" s="69" t="s">
        <v>890</v>
      </c>
      <c r="F44" s="70"/>
      <c r="G44" s="71"/>
      <c r="H44" s="72">
        <f>SUM(H37:H43)</f>
        <v>0</v>
      </c>
      <c r="I44" s="70"/>
      <c r="J44" s="71"/>
      <c r="K44" s="72">
        <f>SUM(K37:K43)</f>
        <v>0</v>
      </c>
      <c r="L44" s="70"/>
      <c r="M44" s="71"/>
      <c r="N44" s="72">
        <f>SUM(N37:N43)</f>
        <v>0</v>
      </c>
      <c r="O44" s="70"/>
      <c r="P44" s="71"/>
      <c r="Q44" s="72">
        <f>SUM(Q37:Q43)</f>
        <v>0</v>
      </c>
      <c r="R44" s="70"/>
      <c r="S44" s="71"/>
      <c r="T44" s="72">
        <f>SUM(T37:T43)</f>
        <v>0</v>
      </c>
      <c r="U44" s="70"/>
      <c r="V44" s="71"/>
      <c r="W44" s="72">
        <f>SUM(W37:W43)</f>
        <v>0</v>
      </c>
      <c r="X44" s="69"/>
    </row>
    <row r="45" spans="4:24" ht="15.75" x14ac:dyDescent="0.25">
      <c r="E45" s="39"/>
      <c r="F45" s="64"/>
      <c r="G45" s="65"/>
      <c r="H45" s="65"/>
      <c r="I45" s="64"/>
      <c r="J45" s="65"/>
      <c r="K45" s="65"/>
      <c r="L45" s="64"/>
      <c r="M45" s="65"/>
      <c r="N45" s="65"/>
      <c r="O45" s="64"/>
      <c r="P45" s="65"/>
      <c r="Q45" s="65"/>
      <c r="R45" s="64"/>
      <c r="S45" s="65"/>
      <c r="T45" s="65"/>
      <c r="U45" s="64"/>
      <c r="V45" s="65"/>
      <c r="W45" s="65"/>
    </row>
    <row r="46" spans="4:24" ht="15.75" x14ac:dyDescent="0.25">
      <c r="E46" s="74" t="s">
        <v>891</v>
      </c>
      <c r="F46" s="67" t="s">
        <v>886</v>
      </c>
      <c r="G46" s="67" t="s">
        <v>887</v>
      </c>
      <c r="H46" s="67" t="s">
        <v>888</v>
      </c>
      <c r="I46" s="67" t="s">
        <v>886</v>
      </c>
      <c r="J46" s="67" t="s">
        <v>887</v>
      </c>
      <c r="K46" s="67" t="s">
        <v>888</v>
      </c>
      <c r="L46" s="67" t="s">
        <v>886</v>
      </c>
      <c r="M46" s="67" t="s">
        <v>887</v>
      </c>
      <c r="N46" s="67" t="s">
        <v>888</v>
      </c>
      <c r="O46" s="67" t="s">
        <v>886</v>
      </c>
      <c r="P46" s="67" t="s">
        <v>887</v>
      </c>
      <c r="Q46" s="67" t="s">
        <v>888</v>
      </c>
      <c r="R46" s="67" t="s">
        <v>886</v>
      </c>
      <c r="S46" s="67" t="s">
        <v>887</v>
      </c>
      <c r="T46" s="67" t="s">
        <v>888</v>
      </c>
      <c r="U46" s="67" t="s">
        <v>886</v>
      </c>
      <c r="V46" s="67" t="s">
        <v>887</v>
      </c>
      <c r="W46" s="67" t="s">
        <v>888</v>
      </c>
      <c r="X46" s="67" t="s">
        <v>889</v>
      </c>
    </row>
    <row r="47" spans="4:24" ht="15.75" x14ac:dyDescent="0.25">
      <c r="D47"/>
      <c r="E47" s="51"/>
      <c r="F47" s="57"/>
      <c r="G47" s="58"/>
      <c r="H47" s="71">
        <f t="shared" ref="H47:H86" si="7">F47*G47</f>
        <v>0</v>
      </c>
      <c r="I47" s="57"/>
      <c r="J47" s="58"/>
      <c r="K47" s="71">
        <f t="shared" ref="K47:K86" si="8">I47*J47</f>
        <v>0</v>
      </c>
      <c r="L47" s="57"/>
      <c r="M47" s="58"/>
      <c r="N47" s="71">
        <f t="shared" ref="N47:N86" si="9">L47*M47</f>
        <v>0</v>
      </c>
      <c r="O47" s="57"/>
      <c r="P47" s="58"/>
      <c r="Q47" s="71">
        <f t="shared" ref="Q47:Q86" si="10">O47*P47</f>
        <v>0</v>
      </c>
      <c r="R47" s="57"/>
      <c r="S47" s="58"/>
      <c r="T47" s="71">
        <f t="shared" ref="T47:T86" si="11">R47*S47</f>
        <v>0</v>
      </c>
      <c r="U47" s="57"/>
      <c r="V47" s="58"/>
      <c r="W47" s="71">
        <f t="shared" ref="W47:W86" si="12">U47*V47</f>
        <v>0</v>
      </c>
      <c r="X47" s="69">
        <f>BASES!G35</f>
        <v>10</v>
      </c>
    </row>
    <row r="48" spans="4:24" ht="15.75" x14ac:dyDescent="0.25">
      <c r="D48"/>
      <c r="E48" s="51"/>
      <c r="F48" s="57"/>
      <c r="G48" s="58"/>
      <c r="H48" s="71">
        <f t="shared" si="7"/>
        <v>0</v>
      </c>
      <c r="I48" s="57"/>
      <c r="J48" s="58"/>
      <c r="K48" s="71">
        <f t="shared" si="8"/>
        <v>0</v>
      </c>
      <c r="L48" s="57"/>
      <c r="M48" s="58"/>
      <c r="N48" s="71">
        <f t="shared" si="9"/>
        <v>0</v>
      </c>
      <c r="O48" s="57"/>
      <c r="P48" s="58"/>
      <c r="Q48" s="71">
        <f t="shared" si="10"/>
        <v>0</v>
      </c>
      <c r="R48" s="57"/>
      <c r="S48" s="58"/>
      <c r="T48" s="71">
        <f t="shared" si="11"/>
        <v>0</v>
      </c>
      <c r="U48" s="57"/>
      <c r="V48" s="58"/>
      <c r="W48" s="71">
        <f t="shared" si="12"/>
        <v>0</v>
      </c>
      <c r="X48" s="69">
        <f t="shared" ref="X48:X86" si="13">X47</f>
        <v>10</v>
      </c>
    </row>
    <row r="49" spans="4:24" ht="15.75" x14ac:dyDescent="0.25">
      <c r="D49"/>
      <c r="E49" s="51"/>
      <c r="F49" s="57"/>
      <c r="G49" s="58"/>
      <c r="H49" s="71">
        <f t="shared" si="7"/>
        <v>0</v>
      </c>
      <c r="I49" s="57"/>
      <c r="J49" s="58"/>
      <c r="K49" s="71">
        <f t="shared" si="8"/>
        <v>0</v>
      </c>
      <c r="L49" s="57"/>
      <c r="M49" s="58"/>
      <c r="N49" s="71">
        <f t="shared" si="9"/>
        <v>0</v>
      </c>
      <c r="O49" s="57"/>
      <c r="P49" s="58"/>
      <c r="Q49" s="71">
        <f t="shared" si="10"/>
        <v>0</v>
      </c>
      <c r="R49" s="57"/>
      <c r="S49" s="58"/>
      <c r="T49" s="71">
        <f t="shared" si="11"/>
        <v>0</v>
      </c>
      <c r="U49" s="57"/>
      <c r="V49" s="58"/>
      <c r="W49" s="71">
        <f t="shared" si="12"/>
        <v>0</v>
      </c>
      <c r="X49" s="69">
        <f t="shared" si="13"/>
        <v>10</v>
      </c>
    </row>
    <row r="50" spans="4:24" ht="15.75" x14ac:dyDescent="0.25">
      <c r="D50"/>
      <c r="E50" s="51"/>
      <c r="F50" s="57"/>
      <c r="G50" s="58"/>
      <c r="H50" s="71">
        <f t="shared" si="7"/>
        <v>0</v>
      </c>
      <c r="I50" s="57"/>
      <c r="J50" s="58"/>
      <c r="K50" s="71">
        <f t="shared" si="8"/>
        <v>0</v>
      </c>
      <c r="L50" s="57"/>
      <c r="M50" s="58"/>
      <c r="N50" s="71">
        <f t="shared" si="9"/>
        <v>0</v>
      </c>
      <c r="O50" s="57"/>
      <c r="P50" s="58"/>
      <c r="Q50" s="71">
        <f t="shared" si="10"/>
        <v>0</v>
      </c>
      <c r="R50" s="57"/>
      <c r="S50" s="58"/>
      <c r="T50" s="71">
        <f t="shared" si="11"/>
        <v>0</v>
      </c>
      <c r="U50" s="57"/>
      <c r="V50" s="58"/>
      <c r="W50" s="71">
        <f t="shared" si="12"/>
        <v>0</v>
      </c>
      <c r="X50" s="69">
        <f t="shared" si="13"/>
        <v>10</v>
      </c>
    </row>
    <row r="51" spans="4:24" ht="15.75" x14ac:dyDescent="0.25">
      <c r="D51"/>
      <c r="E51" s="51"/>
      <c r="F51" s="57"/>
      <c r="G51" s="58"/>
      <c r="H51" s="71">
        <f t="shared" si="7"/>
        <v>0</v>
      </c>
      <c r="I51" s="57"/>
      <c r="J51" s="58"/>
      <c r="K51" s="71">
        <f t="shared" si="8"/>
        <v>0</v>
      </c>
      <c r="L51" s="57"/>
      <c r="M51" s="58"/>
      <c r="N51" s="71">
        <f t="shared" si="9"/>
        <v>0</v>
      </c>
      <c r="O51" s="57"/>
      <c r="P51" s="58"/>
      <c r="Q51" s="71">
        <f t="shared" si="10"/>
        <v>0</v>
      </c>
      <c r="R51" s="57"/>
      <c r="S51" s="58"/>
      <c r="T51" s="71">
        <f t="shared" si="11"/>
        <v>0</v>
      </c>
      <c r="U51" s="57"/>
      <c r="V51" s="58"/>
      <c r="W51" s="71">
        <f t="shared" si="12"/>
        <v>0</v>
      </c>
      <c r="X51" s="69">
        <f t="shared" si="13"/>
        <v>10</v>
      </c>
    </row>
    <row r="52" spans="4:24" ht="15.75" x14ac:dyDescent="0.25">
      <c r="D52"/>
      <c r="E52" s="51"/>
      <c r="F52" s="57"/>
      <c r="G52" s="58"/>
      <c r="H52" s="71">
        <f t="shared" si="7"/>
        <v>0</v>
      </c>
      <c r="I52" s="57"/>
      <c r="J52" s="58"/>
      <c r="K52" s="71">
        <f t="shared" si="8"/>
        <v>0</v>
      </c>
      <c r="L52" s="57"/>
      <c r="M52" s="58"/>
      <c r="N52" s="71">
        <f t="shared" si="9"/>
        <v>0</v>
      </c>
      <c r="O52" s="57"/>
      <c r="P52" s="58"/>
      <c r="Q52" s="71">
        <f t="shared" si="10"/>
        <v>0</v>
      </c>
      <c r="R52" s="57"/>
      <c r="S52" s="58"/>
      <c r="T52" s="71">
        <f t="shared" si="11"/>
        <v>0</v>
      </c>
      <c r="U52" s="57"/>
      <c r="V52" s="58"/>
      <c r="W52" s="71">
        <f t="shared" si="12"/>
        <v>0</v>
      </c>
      <c r="X52" s="69">
        <f t="shared" si="13"/>
        <v>10</v>
      </c>
    </row>
    <row r="53" spans="4:24" ht="15.75" x14ac:dyDescent="0.25">
      <c r="D53"/>
      <c r="E53" s="51"/>
      <c r="F53" s="57"/>
      <c r="G53" s="58"/>
      <c r="H53" s="71">
        <f t="shared" si="7"/>
        <v>0</v>
      </c>
      <c r="I53" s="57"/>
      <c r="J53" s="58"/>
      <c r="K53" s="71">
        <f t="shared" si="8"/>
        <v>0</v>
      </c>
      <c r="L53" s="57"/>
      <c r="M53" s="58"/>
      <c r="N53" s="71">
        <f t="shared" si="9"/>
        <v>0</v>
      </c>
      <c r="O53" s="57"/>
      <c r="P53" s="58"/>
      <c r="Q53" s="71">
        <f t="shared" si="10"/>
        <v>0</v>
      </c>
      <c r="R53" s="57"/>
      <c r="S53" s="58"/>
      <c r="T53" s="71">
        <f t="shared" si="11"/>
        <v>0</v>
      </c>
      <c r="U53" s="57"/>
      <c r="V53" s="58"/>
      <c r="W53" s="71">
        <f t="shared" si="12"/>
        <v>0</v>
      </c>
      <c r="X53" s="69">
        <f t="shared" si="13"/>
        <v>10</v>
      </c>
    </row>
    <row r="54" spans="4:24" ht="15.75" x14ac:dyDescent="0.25">
      <c r="D54"/>
      <c r="E54" s="51"/>
      <c r="F54" s="57"/>
      <c r="G54" s="58"/>
      <c r="H54" s="71">
        <f t="shared" si="7"/>
        <v>0</v>
      </c>
      <c r="I54" s="57"/>
      <c r="J54" s="58"/>
      <c r="K54" s="71">
        <f t="shared" si="8"/>
        <v>0</v>
      </c>
      <c r="L54" s="57"/>
      <c r="M54" s="58"/>
      <c r="N54" s="71">
        <f t="shared" si="9"/>
        <v>0</v>
      </c>
      <c r="O54" s="57"/>
      <c r="P54" s="58"/>
      <c r="Q54" s="71">
        <f t="shared" si="10"/>
        <v>0</v>
      </c>
      <c r="R54" s="57"/>
      <c r="S54" s="58"/>
      <c r="T54" s="71">
        <f t="shared" si="11"/>
        <v>0</v>
      </c>
      <c r="U54" s="57"/>
      <c r="V54" s="58"/>
      <c r="W54" s="71">
        <f t="shared" si="12"/>
        <v>0</v>
      </c>
      <c r="X54" s="69">
        <f t="shared" si="13"/>
        <v>10</v>
      </c>
    </row>
    <row r="55" spans="4:24" ht="15.75" x14ac:dyDescent="0.25">
      <c r="D55"/>
      <c r="E55" s="51"/>
      <c r="F55" s="57"/>
      <c r="G55" s="58"/>
      <c r="H55" s="71">
        <f t="shared" si="7"/>
        <v>0</v>
      </c>
      <c r="I55" s="57"/>
      <c r="J55" s="58"/>
      <c r="K55" s="71">
        <f t="shared" si="8"/>
        <v>0</v>
      </c>
      <c r="L55" s="57"/>
      <c r="M55" s="58"/>
      <c r="N55" s="71">
        <f t="shared" si="9"/>
        <v>0</v>
      </c>
      <c r="O55" s="57"/>
      <c r="P55" s="58"/>
      <c r="Q55" s="71">
        <f t="shared" si="10"/>
        <v>0</v>
      </c>
      <c r="R55" s="57"/>
      <c r="S55" s="58"/>
      <c r="T55" s="71">
        <f t="shared" si="11"/>
        <v>0</v>
      </c>
      <c r="U55" s="57"/>
      <c r="V55" s="58"/>
      <c r="W55" s="71">
        <f t="shared" si="12"/>
        <v>0</v>
      </c>
      <c r="X55" s="69">
        <f t="shared" si="13"/>
        <v>10</v>
      </c>
    </row>
    <row r="56" spans="4:24" ht="15.75" x14ac:dyDescent="0.25">
      <c r="D56"/>
      <c r="E56" s="51"/>
      <c r="F56" s="57"/>
      <c r="G56" s="58"/>
      <c r="H56" s="71">
        <f t="shared" si="7"/>
        <v>0</v>
      </c>
      <c r="I56" s="57"/>
      <c r="J56" s="58"/>
      <c r="K56" s="71">
        <f t="shared" si="8"/>
        <v>0</v>
      </c>
      <c r="L56" s="57"/>
      <c r="M56" s="58"/>
      <c r="N56" s="71">
        <f t="shared" si="9"/>
        <v>0</v>
      </c>
      <c r="O56" s="57"/>
      <c r="P56" s="58"/>
      <c r="Q56" s="71">
        <f t="shared" si="10"/>
        <v>0</v>
      </c>
      <c r="R56" s="57"/>
      <c r="S56" s="58"/>
      <c r="T56" s="71">
        <f t="shared" si="11"/>
        <v>0</v>
      </c>
      <c r="U56" s="57"/>
      <c r="V56" s="58"/>
      <c r="W56" s="71">
        <f t="shared" si="12"/>
        <v>0</v>
      </c>
      <c r="X56" s="69">
        <f t="shared" si="13"/>
        <v>10</v>
      </c>
    </row>
    <row r="57" spans="4:24" ht="15.75" x14ac:dyDescent="0.25">
      <c r="D57"/>
      <c r="E57" s="51"/>
      <c r="F57" s="57"/>
      <c r="G57" s="58"/>
      <c r="H57" s="71">
        <f t="shared" si="7"/>
        <v>0</v>
      </c>
      <c r="I57" s="57"/>
      <c r="J57" s="58"/>
      <c r="K57" s="71">
        <f t="shared" si="8"/>
        <v>0</v>
      </c>
      <c r="L57" s="57"/>
      <c r="M57" s="58"/>
      <c r="N57" s="71">
        <f t="shared" si="9"/>
        <v>0</v>
      </c>
      <c r="O57" s="57"/>
      <c r="P57" s="58"/>
      <c r="Q57" s="71">
        <f t="shared" si="10"/>
        <v>0</v>
      </c>
      <c r="R57" s="57"/>
      <c r="S57" s="58"/>
      <c r="T57" s="71">
        <f t="shared" si="11"/>
        <v>0</v>
      </c>
      <c r="U57" s="57"/>
      <c r="V57" s="58"/>
      <c r="W57" s="71">
        <f t="shared" si="12"/>
        <v>0</v>
      </c>
      <c r="X57" s="69">
        <f t="shared" si="13"/>
        <v>10</v>
      </c>
    </row>
    <row r="58" spans="4:24" ht="15.75" x14ac:dyDescent="0.25">
      <c r="D58"/>
      <c r="E58" s="51"/>
      <c r="F58" s="57"/>
      <c r="G58" s="58"/>
      <c r="H58" s="71">
        <f t="shared" si="7"/>
        <v>0</v>
      </c>
      <c r="I58" s="57"/>
      <c r="J58" s="58"/>
      <c r="K58" s="71">
        <f t="shared" si="8"/>
        <v>0</v>
      </c>
      <c r="L58" s="57"/>
      <c r="M58" s="58"/>
      <c r="N58" s="71">
        <f t="shared" si="9"/>
        <v>0</v>
      </c>
      <c r="O58" s="57"/>
      <c r="P58" s="58"/>
      <c r="Q58" s="71">
        <f t="shared" si="10"/>
        <v>0</v>
      </c>
      <c r="R58" s="57"/>
      <c r="S58" s="58"/>
      <c r="T58" s="71">
        <f t="shared" si="11"/>
        <v>0</v>
      </c>
      <c r="U58" s="57"/>
      <c r="V58" s="58"/>
      <c r="W58" s="71">
        <f t="shared" si="12"/>
        <v>0</v>
      </c>
      <c r="X58" s="69">
        <f t="shared" si="13"/>
        <v>10</v>
      </c>
    </row>
    <row r="59" spans="4:24" ht="15.75" x14ac:dyDescent="0.25">
      <c r="D59"/>
      <c r="E59" s="51"/>
      <c r="F59" s="57"/>
      <c r="G59" s="58"/>
      <c r="H59" s="71">
        <f t="shared" si="7"/>
        <v>0</v>
      </c>
      <c r="I59" s="57"/>
      <c r="J59" s="58"/>
      <c r="K59" s="71">
        <f t="shared" si="8"/>
        <v>0</v>
      </c>
      <c r="L59" s="57"/>
      <c r="M59" s="58"/>
      <c r="N59" s="71">
        <f t="shared" si="9"/>
        <v>0</v>
      </c>
      <c r="O59" s="57"/>
      <c r="P59" s="58"/>
      <c r="Q59" s="71">
        <f t="shared" si="10"/>
        <v>0</v>
      </c>
      <c r="R59" s="57"/>
      <c r="S59" s="58"/>
      <c r="T59" s="71">
        <f t="shared" si="11"/>
        <v>0</v>
      </c>
      <c r="U59" s="57"/>
      <c r="V59" s="58"/>
      <c r="W59" s="71">
        <f t="shared" si="12"/>
        <v>0</v>
      </c>
      <c r="X59" s="69">
        <f t="shared" si="13"/>
        <v>10</v>
      </c>
    </row>
    <row r="60" spans="4:24" ht="15.75" x14ac:dyDescent="0.25">
      <c r="D60"/>
      <c r="E60" s="51"/>
      <c r="F60" s="57"/>
      <c r="G60" s="58"/>
      <c r="H60" s="71">
        <f t="shared" si="7"/>
        <v>0</v>
      </c>
      <c r="I60" s="57"/>
      <c r="J60" s="58"/>
      <c r="K60" s="71">
        <f t="shared" si="8"/>
        <v>0</v>
      </c>
      <c r="L60" s="57"/>
      <c r="M60" s="58"/>
      <c r="N60" s="71">
        <f t="shared" si="9"/>
        <v>0</v>
      </c>
      <c r="O60" s="57"/>
      <c r="P60" s="58"/>
      <c r="Q60" s="71">
        <f t="shared" si="10"/>
        <v>0</v>
      </c>
      <c r="R60" s="57"/>
      <c r="S60" s="58"/>
      <c r="T60" s="71">
        <f t="shared" si="11"/>
        <v>0</v>
      </c>
      <c r="U60" s="57"/>
      <c r="V60" s="58"/>
      <c r="W60" s="71">
        <f t="shared" si="12"/>
        <v>0</v>
      </c>
      <c r="X60" s="69">
        <f t="shared" si="13"/>
        <v>10</v>
      </c>
    </row>
    <row r="61" spans="4:24" ht="15.75" x14ac:dyDescent="0.25">
      <c r="D61"/>
      <c r="E61" s="51"/>
      <c r="F61" s="57"/>
      <c r="G61" s="58"/>
      <c r="H61" s="71">
        <f t="shared" si="7"/>
        <v>0</v>
      </c>
      <c r="I61" s="57"/>
      <c r="J61" s="58"/>
      <c r="K61" s="71">
        <f t="shared" si="8"/>
        <v>0</v>
      </c>
      <c r="L61" s="57"/>
      <c r="M61" s="58"/>
      <c r="N61" s="71">
        <f t="shared" si="9"/>
        <v>0</v>
      </c>
      <c r="O61" s="57"/>
      <c r="P61" s="58"/>
      <c r="Q61" s="71">
        <f t="shared" si="10"/>
        <v>0</v>
      </c>
      <c r="R61" s="57"/>
      <c r="S61" s="58"/>
      <c r="T61" s="71">
        <f t="shared" si="11"/>
        <v>0</v>
      </c>
      <c r="U61" s="57"/>
      <c r="V61" s="58"/>
      <c r="W61" s="71">
        <f t="shared" si="12"/>
        <v>0</v>
      </c>
      <c r="X61" s="69">
        <f t="shared" si="13"/>
        <v>10</v>
      </c>
    </row>
    <row r="62" spans="4:24" ht="15.75" x14ac:dyDescent="0.25">
      <c r="D62"/>
      <c r="E62" s="51"/>
      <c r="F62" s="57"/>
      <c r="G62" s="58"/>
      <c r="H62" s="71">
        <f t="shared" si="7"/>
        <v>0</v>
      </c>
      <c r="I62" s="57"/>
      <c r="J62" s="58"/>
      <c r="K62" s="71">
        <f t="shared" si="8"/>
        <v>0</v>
      </c>
      <c r="L62" s="57"/>
      <c r="M62" s="58"/>
      <c r="N62" s="71">
        <f t="shared" si="9"/>
        <v>0</v>
      </c>
      <c r="O62" s="57"/>
      <c r="P62" s="58"/>
      <c r="Q62" s="71">
        <f t="shared" si="10"/>
        <v>0</v>
      </c>
      <c r="R62" s="57"/>
      <c r="S62" s="58"/>
      <c r="T62" s="71">
        <f t="shared" si="11"/>
        <v>0</v>
      </c>
      <c r="U62" s="57"/>
      <c r="V62" s="58"/>
      <c r="W62" s="71">
        <f t="shared" si="12"/>
        <v>0</v>
      </c>
      <c r="X62" s="69">
        <f t="shared" si="13"/>
        <v>10</v>
      </c>
    </row>
    <row r="63" spans="4:24" ht="15.75" x14ac:dyDescent="0.25">
      <c r="D63"/>
      <c r="E63" s="51"/>
      <c r="F63" s="57"/>
      <c r="G63" s="58"/>
      <c r="H63" s="71">
        <f t="shared" si="7"/>
        <v>0</v>
      </c>
      <c r="I63" s="57"/>
      <c r="J63" s="58"/>
      <c r="K63" s="71">
        <f t="shared" si="8"/>
        <v>0</v>
      </c>
      <c r="L63" s="57"/>
      <c r="M63" s="58"/>
      <c r="N63" s="71">
        <f t="shared" si="9"/>
        <v>0</v>
      </c>
      <c r="O63" s="57"/>
      <c r="P63" s="58"/>
      <c r="Q63" s="71">
        <f t="shared" si="10"/>
        <v>0</v>
      </c>
      <c r="R63" s="57"/>
      <c r="S63" s="58"/>
      <c r="T63" s="71">
        <f t="shared" si="11"/>
        <v>0</v>
      </c>
      <c r="U63" s="57"/>
      <c r="V63" s="58"/>
      <c r="W63" s="71">
        <f t="shared" si="12"/>
        <v>0</v>
      </c>
      <c r="X63" s="69">
        <f t="shared" si="13"/>
        <v>10</v>
      </c>
    </row>
    <row r="64" spans="4:24" ht="15.75" x14ac:dyDescent="0.25">
      <c r="D64"/>
      <c r="E64" s="51"/>
      <c r="F64" s="57"/>
      <c r="G64" s="58"/>
      <c r="H64" s="71">
        <f t="shared" si="7"/>
        <v>0</v>
      </c>
      <c r="I64" s="57"/>
      <c r="J64" s="58"/>
      <c r="K64" s="71">
        <f t="shared" si="8"/>
        <v>0</v>
      </c>
      <c r="L64" s="57"/>
      <c r="M64" s="58"/>
      <c r="N64" s="71">
        <f t="shared" si="9"/>
        <v>0</v>
      </c>
      <c r="O64" s="57"/>
      <c r="P64" s="58"/>
      <c r="Q64" s="71">
        <f t="shared" si="10"/>
        <v>0</v>
      </c>
      <c r="R64" s="57"/>
      <c r="S64" s="58"/>
      <c r="T64" s="71">
        <f t="shared" si="11"/>
        <v>0</v>
      </c>
      <c r="U64" s="57"/>
      <c r="V64" s="58"/>
      <c r="W64" s="71">
        <f t="shared" si="12"/>
        <v>0</v>
      </c>
      <c r="X64" s="69">
        <f t="shared" si="13"/>
        <v>10</v>
      </c>
    </row>
    <row r="65" spans="4:24" ht="15.75" x14ac:dyDescent="0.25">
      <c r="D65"/>
      <c r="E65" s="51"/>
      <c r="F65" s="57"/>
      <c r="G65" s="58"/>
      <c r="H65" s="71">
        <f t="shared" si="7"/>
        <v>0</v>
      </c>
      <c r="I65" s="57"/>
      <c r="J65" s="58"/>
      <c r="K65" s="71">
        <f t="shared" si="8"/>
        <v>0</v>
      </c>
      <c r="L65" s="57"/>
      <c r="M65" s="58"/>
      <c r="N65" s="71">
        <f t="shared" si="9"/>
        <v>0</v>
      </c>
      <c r="O65" s="57"/>
      <c r="P65" s="58"/>
      <c r="Q65" s="71">
        <f t="shared" si="10"/>
        <v>0</v>
      </c>
      <c r="R65" s="57"/>
      <c r="S65" s="58"/>
      <c r="T65" s="71">
        <f t="shared" si="11"/>
        <v>0</v>
      </c>
      <c r="U65" s="57"/>
      <c r="V65" s="58"/>
      <c r="W65" s="71">
        <f t="shared" si="12"/>
        <v>0</v>
      </c>
      <c r="X65" s="69">
        <f t="shared" si="13"/>
        <v>10</v>
      </c>
    </row>
    <row r="66" spans="4:24" ht="15.75" x14ac:dyDescent="0.25">
      <c r="D66"/>
      <c r="E66" s="51"/>
      <c r="F66" s="57"/>
      <c r="G66" s="58"/>
      <c r="H66" s="71">
        <f t="shared" si="7"/>
        <v>0</v>
      </c>
      <c r="I66" s="57"/>
      <c r="J66" s="58"/>
      <c r="K66" s="71">
        <f t="shared" si="8"/>
        <v>0</v>
      </c>
      <c r="L66" s="57"/>
      <c r="M66" s="58"/>
      <c r="N66" s="71">
        <f t="shared" si="9"/>
        <v>0</v>
      </c>
      <c r="O66" s="57"/>
      <c r="P66" s="58"/>
      <c r="Q66" s="71">
        <f t="shared" si="10"/>
        <v>0</v>
      </c>
      <c r="R66" s="57"/>
      <c r="S66" s="58"/>
      <c r="T66" s="71">
        <f t="shared" si="11"/>
        <v>0</v>
      </c>
      <c r="U66" s="57"/>
      <c r="V66" s="58"/>
      <c r="W66" s="71">
        <f t="shared" si="12"/>
        <v>0</v>
      </c>
      <c r="X66" s="69">
        <f t="shared" si="13"/>
        <v>10</v>
      </c>
    </row>
    <row r="67" spans="4:24" ht="15.75" x14ac:dyDescent="0.25">
      <c r="D67"/>
      <c r="E67" s="51"/>
      <c r="F67" s="57"/>
      <c r="G67" s="58"/>
      <c r="H67" s="71">
        <f t="shared" si="7"/>
        <v>0</v>
      </c>
      <c r="I67" s="57"/>
      <c r="J67" s="58"/>
      <c r="K67" s="71">
        <f t="shared" si="8"/>
        <v>0</v>
      </c>
      <c r="L67" s="57"/>
      <c r="M67" s="58"/>
      <c r="N67" s="71">
        <f t="shared" si="9"/>
        <v>0</v>
      </c>
      <c r="O67" s="57"/>
      <c r="P67" s="58"/>
      <c r="Q67" s="71">
        <f t="shared" si="10"/>
        <v>0</v>
      </c>
      <c r="R67" s="57"/>
      <c r="S67" s="58"/>
      <c r="T67" s="71">
        <f t="shared" si="11"/>
        <v>0</v>
      </c>
      <c r="U67" s="57"/>
      <c r="V67" s="58"/>
      <c r="W67" s="71">
        <f t="shared" si="12"/>
        <v>0</v>
      </c>
      <c r="X67" s="69">
        <f t="shared" si="13"/>
        <v>10</v>
      </c>
    </row>
    <row r="68" spans="4:24" ht="15.75" x14ac:dyDescent="0.25">
      <c r="D68"/>
      <c r="E68" s="51"/>
      <c r="F68" s="57"/>
      <c r="G68" s="58"/>
      <c r="H68" s="71">
        <f t="shared" si="7"/>
        <v>0</v>
      </c>
      <c r="I68" s="57"/>
      <c r="J68" s="58"/>
      <c r="K68" s="71">
        <f t="shared" si="8"/>
        <v>0</v>
      </c>
      <c r="L68" s="57"/>
      <c r="M68" s="58"/>
      <c r="N68" s="71">
        <f t="shared" si="9"/>
        <v>0</v>
      </c>
      <c r="O68" s="57"/>
      <c r="P68" s="58"/>
      <c r="Q68" s="71">
        <f t="shared" si="10"/>
        <v>0</v>
      </c>
      <c r="R68" s="57"/>
      <c r="S68" s="58"/>
      <c r="T68" s="71">
        <f t="shared" si="11"/>
        <v>0</v>
      </c>
      <c r="U68" s="57"/>
      <c r="V68" s="58"/>
      <c r="W68" s="71">
        <f t="shared" si="12"/>
        <v>0</v>
      </c>
      <c r="X68" s="69">
        <f t="shared" si="13"/>
        <v>10</v>
      </c>
    </row>
    <row r="69" spans="4:24" ht="15.75" x14ac:dyDescent="0.25">
      <c r="D69"/>
      <c r="E69" s="51"/>
      <c r="F69" s="57"/>
      <c r="G69" s="58"/>
      <c r="H69" s="71">
        <f t="shared" si="7"/>
        <v>0</v>
      </c>
      <c r="I69" s="57"/>
      <c r="J69" s="58"/>
      <c r="K69" s="71">
        <f t="shared" si="8"/>
        <v>0</v>
      </c>
      <c r="L69" s="57"/>
      <c r="M69" s="58"/>
      <c r="N69" s="71">
        <f t="shared" si="9"/>
        <v>0</v>
      </c>
      <c r="O69" s="57"/>
      <c r="P69" s="58"/>
      <c r="Q69" s="71">
        <f t="shared" si="10"/>
        <v>0</v>
      </c>
      <c r="R69" s="57"/>
      <c r="S69" s="58"/>
      <c r="T69" s="71">
        <f t="shared" si="11"/>
        <v>0</v>
      </c>
      <c r="U69" s="57"/>
      <c r="V69" s="58"/>
      <c r="W69" s="71">
        <f t="shared" si="12"/>
        <v>0</v>
      </c>
      <c r="X69" s="69">
        <f t="shared" si="13"/>
        <v>10</v>
      </c>
    </row>
    <row r="70" spans="4:24" ht="15.75" x14ac:dyDescent="0.25">
      <c r="D70"/>
      <c r="E70" s="51"/>
      <c r="F70" s="57"/>
      <c r="G70" s="58"/>
      <c r="H70" s="71">
        <f t="shared" si="7"/>
        <v>0</v>
      </c>
      <c r="I70" s="57"/>
      <c r="J70" s="58"/>
      <c r="K70" s="71">
        <f t="shared" si="8"/>
        <v>0</v>
      </c>
      <c r="L70" s="57"/>
      <c r="M70" s="58"/>
      <c r="N70" s="71">
        <f t="shared" si="9"/>
        <v>0</v>
      </c>
      <c r="O70" s="57"/>
      <c r="P70" s="58"/>
      <c r="Q70" s="71">
        <f t="shared" si="10"/>
        <v>0</v>
      </c>
      <c r="R70" s="57"/>
      <c r="S70" s="58"/>
      <c r="T70" s="71">
        <f t="shared" si="11"/>
        <v>0</v>
      </c>
      <c r="U70" s="57"/>
      <c r="V70" s="58"/>
      <c r="W70" s="71">
        <f t="shared" si="12"/>
        <v>0</v>
      </c>
      <c r="X70" s="69">
        <f t="shared" si="13"/>
        <v>10</v>
      </c>
    </row>
    <row r="71" spans="4:24" ht="15.75" x14ac:dyDescent="0.25">
      <c r="D71"/>
      <c r="E71" s="51"/>
      <c r="F71" s="57"/>
      <c r="G71" s="58"/>
      <c r="H71" s="71">
        <f t="shared" si="7"/>
        <v>0</v>
      </c>
      <c r="I71" s="57"/>
      <c r="J71" s="58"/>
      <c r="K71" s="71">
        <f t="shared" si="8"/>
        <v>0</v>
      </c>
      <c r="L71" s="57"/>
      <c r="M71" s="58"/>
      <c r="N71" s="71">
        <f t="shared" si="9"/>
        <v>0</v>
      </c>
      <c r="O71" s="57"/>
      <c r="P71" s="58"/>
      <c r="Q71" s="71">
        <f t="shared" si="10"/>
        <v>0</v>
      </c>
      <c r="R71" s="57"/>
      <c r="S71" s="58"/>
      <c r="T71" s="71">
        <f t="shared" si="11"/>
        <v>0</v>
      </c>
      <c r="U71" s="57"/>
      <c r="V71" s="58"/>
      <c r="W71" s="71">
        <f t="shared" si="12"/>
        <v>0</v>
      </c>
      <c r="X71" s="69">
        <f t="shared" si="13"/>
        <v>10</v>
      </c>
    </row>
    <row r="72" spans="4:24" ht="15.75" x14ac:dyDescent="0.25">
      <c r="D72"/>
      <c r="E72" s="51"/>
      <c r="F72" s="57"/>
      <c r="G72" s="58"/>
      <c r="H72" s="71">
        <f t="shared" si="7"/>
        <v>0</v>
      </c>
      <c r="I72" s="57"/>
      <c r="J72" s="58"/>
      <c r="K72" s="71">
        <f t="shared" si="8"/>
        <v>0</v>
      </c>
      <c r="L72" s="57"/>
      <c r="M72" s="58"/>
      <c r="N72" s="71">
        <f t="shared" si="9"/>
        <v>0</v>
      </c>
      <c r="O72" s="57"/>
      <c r="P72" s="58"/>
      <c r="Q72" s="71">
        <f t="shared" si="10"/>
        <v>0</v>
      </c>
      <c r="R72" s="57"/>
      <c r="S72" s="58"/>
      <c r="T72" s="71">
        <f t="shared" si="11"/>
        <v>0</v>
      </c>
      <c r="U72" s="57"/>
      <c r="V72" s="58"/>
      <c r="W72" s="71">
        <f t="shared" si="12"/>
        <v>0</v>
      </c>
      <c r="X72" s="69">
        <f t="shared" si="13"/>
        <v>10</v>
      </c>
    </row>
    <row r="73" spans="4:24" ht="15.75" x14ac:dyDescent="0.25">
      <c r="D73"/>
      <c r="E73" s="51"/>
      <c r="F73" s="57"/>
      <c r="G73" s="58"/>
      <c r="H73" s="71">
        <f t="shared" si="7"/>
        <v>0</v>
      </c>
      <c r="I73" s="57"/>
      <c r="J73" s="58"/>
      <c r="K73" s="71">
        <f t="shared" si="8"/>
        <v>0</v>
      </c>
      <c r="L73" s="57"/>
      <c r="M73" s="58"/>
      <c r="N73" s="71">
        <f t="shared" si="9"/>
        <v>0</v>
      </c>
      <c r="O73" s="57"/>
      <c r="P73" s="58"/>
      <c r="Q73" s="71">
        <f t="shared" si="10"/>
        <v>0</v>
      </c>
      <c r="R73" s="57"/>
      <c r="S73" s="58"/>
      <c r="T73" s="71">
        <f t="shared" si="11"/>
        <v>0</v>
      </c>
      <c r="U73" s="57"/>
      <c r="V73" s="58"/>
      <c r="W73" s="71">
        <f t="shared" si="12"/>
        <v>0</v>
      </c>
      <c r="X73" s="69">
        <f t="shared" si="13"/>
        <v>10</v>
      </c>
    </row>
    <row r="74" spans="4:24" ht="15.75" x14ac:dyDescent="0.25">
      <c r="D74"/>
      <c r="E74" s="51"/>
      <c r="F74" s="57"/>
      <c r="G74" s="58"/>
      <c r="H74" s="71">
        <f t="shared" si="7"/>
        <v>0</v>
      </c>
      <c r="I74" s="57"/>
      <c r="J74" s="58"/>
      <c r="K74" s="71">
        <f t="shared" si="8"/>
        <v>0</v>
      </c>
      <c r="L74" s="57"/>
      <c r="M74" s="58"/>
      <c r="N74" s="71">
        <f t="shared" si="9"/>
        <v>0</v>
      </c>
      <c r="O74" s="57"/>
      <c r="P74" s="58"/>
      <c r="Q74" s="71">
        <f t="shared" si="10"/>
        <v>0</v>
      </c>
      <c r="R74" s="57"/>
      <c r="S74" s="58"/>
      <c r="T74" s="71">
        <f t="shared" si="11"/>
        <v>0</v>
      </c>
      <c r="U74" s="57"/>
      <c r="V74" s="58"/>
      <c r="W74" s="71">
        <f t="shared" si="12"/>
        <v>0</v>
      </c>
      <c r="X74" s="69">
        <f t="shared" si="13"/>
        <v>10</v>
      </c>
    </row>
    <row r="75" spans="4:24" ht="15.75" x14ac:dyDescent="0.25">
      <c r="D75"/>
      <c r="E75" s="51"/>
      <c r="F75" s="57"/>
      <c r="G75" s="58"/>
      <c r="H75" s="71">
        <f t="shared" si="7"/>
        <v>0</v>
      </c>
      <c r="I75" s="57"/>
      <c r="J75" s="58"/>
      <c r="K75" s="71">
        <f t="shared" si="8"/>
        <v>0</v>
      </c>
      <c r="L75" s="57"/>
      <c r="M75" s="58"/>
      <c r="N75" s="71">
        <f t="shared" si="9"/>
        <v>0</v>
      </c>
      <c r="O75" s="57"/>
      <c r="P75" s="58"/>
      <c r="Q75" s="71">
        <f t="shared" si="10"/>
        <v>0</v>
      </c>
      <c r="R75" s="57"/>
      <c r="S75" s="58"/>
      <c r="T75" s="71">
        <f t="shared" si="11"/>
        <v>0</v>
      </c>
      <c r="U75" s="57"/>
      <c r="V75" s="58"/>
      <c r="W75" s="71">
        <f t="shared" si="12"/>
        <v>0</v>
      </c>
      <c r="X75" s="69">
        <f t="shared" si="13"/>
        <v>10</v>
      </c>
    </row>
    <row r="76" spans="4:24" ht="15.75" x14ac:dyDescent="0.25">
      <c r="D76"/>
      <c r="E76" s="51"/>
      <c r="F76" s="57"/>
      <c r="G76" s="58"/>
      <c r="H76" s="71">
        <f t="shared" si="7"/>
        <v>0</v>
      </c>
      <c r="I76" s="57"/>
      <c r="J76" s="58"/>
      <c r="K76" s="71">
        <f t="shared" si="8"/>
        <v>0</v>
      </c>
      <c r="L76" s="57"/>
      <c r="M76" s="58"/>
      <c r="N76" s="71">
        <f t="shared" si="9"/>
        <v>0</v>
      </c>
      <c r="O76" s="57"/>
      <c r="P76" s="58"/>
      <c r="Q76" s="71">
        <f t="shared" si="10"/>
        <v>0</v>
      </c>
      <c r="R76" s="57"/>
      <c r="S76" s="58"/>
      <c r="T76" s="71">
        <f t="shared" si="11"/>
        <v>0</v>
      </c>
      <c r="U76" s="57"/>
      <c r="V76" s="58"/>
      <c r="W76" s="71">
        <f t="shared" si="12"/>
        <v>0</v>
      </c>
      <c r="X76" s="69">
        <f t="shared" si="13"/>
        <v>10</v>
      </c>
    </row>
    <row r="77" spans="4:24" ht="15.75" x14ac:dyDescent="0.25">
      <c r="D77"/>
      <c r="E77" s="51"/>
      <c r="F77" s="57"/>
      <c r="G77" s="58"/>
      <c r="H77" s="71">
        <f t="shared" si="7"/>
        <v>0</v>
      </c>
      <c r="I77" s="57"/>
      <c r="J77" s="58"/>
      <c r="K77" s="71">
        <f t="shared" si="8"/>
        <v>0</v>
      </c>
      <c r="L77" s="57"/>
      <c r="M77" s="58"/>
      <c r="N77" s="71">
        <f t="shared" si="9"/>
        <v>0</v>
      </c>
      <c r="O77" s="57"/>
      <c r="P77" s="58"/>
      <c r="Q77" s="71">
        <f t="shared" si="10"/>
        <v>0</v>
      </c>
      <c r="R77" s="57"/>
      <c r="S77" s="58"/>
      <c r="T77" s="71">
        <f t="shared" si="11"/>
        <v>0</v>
      </c>
      <c r="U77" s="57"/>
      <c r="V77" s="58"/>
      <c r="W77" s="71">
        <f t="shared" si="12"/>
        <v>0</v>
      </c>
      <c r="X77" s="69">
        <f t="shared" si="13"/>
        <v>10</v>
      </c>
    </row>
    <row r="78" spans="4:24" ht="15.75" x14ac:dyDescent="0.25">
      <c r="D78"/>
      <c r="E78" s="51"/>
      <c r="F78" s="57"/>
      <c r="G78" s="58"/>
      <c r="H78" s="71">
        <f t="shared" si="7"/>
        <v>0</v>
      </c>
      <c r="I78" s="57"/>
      <c r="J78" s="58"/>
      <c r="K78" s="71">
        <f t="shared" si="8"/>
        <v>0</v>
      </c>
      <c r="L78" s="57"/>
      <c r="M78" s="58"/>
      <c r="N78" s="71">
        <f t="shared" si="9"/>
        <v>0</v>
      </c>
      <c r="O78" s="57"/>
      <c r="P78" s="58"/>
      <c r="Q78" s="71">
        <f t="shared" si="10"/>
        <v>0</v>
      </c>
      <c r="R78" s="57"/>
      <c r="S78" s="58"/>
      <c r="T78" s="71">
        <f t="shared" si="11"/>
        <v>0</v>
      </c>
      <c r="U78" s="57"/>
      <c r="V78" s="58"/>
      <c r="W78" s="71">
        <f t="shared" si="12"/>
        <v>0</v>
      </c>
      <c r="X78" s="69">
        <f t="shared" si="13"/>
        <v>10</v>
      </c>
    </row>
    <row r="79" spans="4:24" ht="15.75" x14ac:dyDescent="0.25">
      <c r="D79"/>
      <c r="E79" s="51"/>
      <c r="F79" s="57"/>
      <c r="G79" s="58"/>
      <c r="H79" s="71">
        <f t="shared" si="7"/>
        <v>0</v>
      </c>
      <c r="I79" s="57"/>
      <c r="J79" s="58"/>
      <c r="K79" s="71">
        <f t="shared" si="8"/>
        <v>0</v>
      </c>
      <c r="L79" s="57"/>
      <c r="M79" s="58"/>
      <c r="N79" s="71">
        <f t="shared" si="9"/>
        <v>0</v>
      </c>
      <c r="O79" s="57"/>
      <c r="P79" s="58"/>
      <c r="Q79" s="71">
        <f t="shared" si="10"/>
        <v>0</v>
      </c>
      <c r="R79" s="57"/>
      <c r="S79" s="58"/>
      <c r="T79" s="71">
        <f t="shared" si="11"/>
        <v>0</v>
      </c>
      <c r="U79" s="57"/>
      <c r="V79" s="58"/>
      <c r="W79" s="71">
        <f t="shared" si="12"/>
        <v>0</v>
      </c>
      <c r="X79" s="69">
        <f t="shared" si="13"/>
        <v>10</v>
      </c>
    </row>
    <row r="80" spans="4:24" ht="15.75" x14ac:dyDescent="0.25">
      <c r="D80"/>
      <c r="E80" s="51"/>
      <c r="F80" s="57"/>
      <c r="G80" s="58"/>
      <c r="H80" s="71">
        <f t="shared" si="7"/>
        <v>0</v>
      </c>
      <c r="I80" s="57"/>
      <c r="J80" s="58"/>
      <c r="K80" s="71">
        <f t="shared" si="8"/>
        <v>0</v>
      </c>
      <c r="L80" s="57"/>
      <c r="M80" s="58"/>
      <c r="N80" s="71">
        <f t="shared" si="9"/>
        <v>0</v>
      </c>
      <c r="O80" s="57"/>
      <c r="P80" s="58"/>
      <c r="Q80" s="71">
        <f t="shared" si="10"/>
        <v>0</v>
      </c>
      <c r="R80" s="57"/>
      <c r="S80" s="58"/>
      <c r="T80" s="71">
        <f t="shared" si="11"/>
        <v>0</v>
      </c>
      <c r="U80" s="57"/>
      <c r="V80" s="58"/>
      <c r="W80" s="71">
        <f t="shared" si="12"/>
        <v>0</v>
      </c>
      <c r="X80" s="69">
        <f t="shared" si="13"/>
        <v>10</v>
      </c>
    </row>
    <row r="81" spans="4:24" ht="15.75" x14ac:dyDescent="0.25">
      <c r="D81"/>
      <c r="E81" s="51"/>
      <c r="F81" s="57"/>
      <c r="G81" s="58"/>
      <c r="H81" s="71">
        <f t="shared" si="7"/>
        <v>0</v>
      </c>
      <c r="I81" s="57"/>
      <c r="J81" s="58"/>
      <c r="K81" s="71">
        <f t="shared" si="8"/>
        <v>0</v>
      </c>
      <c r="L81" s="57"/>
      <c r="M81" s="58"/>
      <c r="N81" s="71">
        <f t="shared" si="9"/>
        <v>0</v>
      </c>
      <c r="O81" s="57"/>
      <c r="P81" s="58"/>
      <c r="Q81" s="71">
        <f t="shared" si="10"/>
        <v>0</v>
      </c>
      <c r="R81" s="57"/>
      <c r="S81" s="58"/>
      <c r="T81" s="71">
        <f t="shared" si="11"/>
        <v>0</v>
      </c>
      <c r="U81" s="57"/>
      <c r="V81" s="58"/>
      <c r="W81" s="71">
        <f t="shared" si="12"/>
        <v>0</v>
      </c>
      <c r="X81" s="69">
        <f t="shared" si="13"/>
        <v>10</v>
      </c>
    </row>
    <row r="82" spans="4:24" ht="15.75" x14ac:dyDescent="0.25">
      <c r="D82"/>
      <c r="E82" s="51"/>
      <c r="F82" s="57"/>
      <c r="G82" s="58"/>
      <c r="H82" s="71">
        <f t="shared" si="7"/>
        <v>0</v>
      </c>
      <c r="I82" s="57"/>
      <c r="J82" s="58"/>
      <c r="K82" s="71">
        <f t="shared" si="8"/>
        <v>0</v>
      </c>
      <c r="L82" s="57"/>
      <c r="M82" s="58"/>
      <c r="N82" s="71">
        <f t="shared" si="9"/>
        <v>0</v>
      </c>
      <c r="O82" s="57"/>
      <c r="P82" s="58"/>
      <c r="Q82" s="71">
        <f t="shared" si="10"/>
        <v>0</v>
      </c>
      <c r="R82" s="57"/>
      <c r="S82" s="58"/>
      <c r="T82" s="71">
        <f t="shared" si="11"/>
        <v>0</v>
      </c>
      <c r="U82" s="57"/>
      <c r="V82" s="58"/>
      <c r="W82" s="71">
        <f t="shared" si="12"/>
        <v>0</v>
      </c>
      <c r="X82" s="69">
        <f t="shared" si="13"/>
        <v>10</v>
      </c>
    </row>
    <row r="83" spans="4:24" ht="15.75" x14ac:dyDescent="0.25">
      <c r="D83"/>
      <c r="E83" s="51"/>
      <c r="F83" s="57"/>
      <c r="G83" s="58"/>
      <c r="H83" s="71">
        <f t="shared" si="7"/>
        <v>0</v>
      </c>
      <c r="I83" s="57"/>
      <c r="J83" s="58"/>
      <c r="K83" s="71">
        <f t="shared" si="8"/>
        <v>0</v>
      </c>
      <c r="L83" s="57"/>
      <c r="M83" s="58"/>
      <c r="N83" s="71">
        <f t="shared" si="9"/>
        <v>0</v>
      </c>
      <c r="O83" s="57"/>
      <c r="P83" s="58"/>
      <c r="Q83" s="71">
        <f t="shared" si="10"/>
        <v>0</v>
      </c>
      <c r="R83" s="57"/>
      <c r="S83" s="58"/>
      <c r="T83" s="71">
        <f t="shared" si="11"/>
        <v>0</v>
      </c>
      <c r="U83" s="57"/>
      <c r="V83" s="58"/>
      <c r="W83" s="71">
        <f t="shared" si="12"/>
        <v>0</v>
      </c>
      <c r="X83" s="69">
        <f t="shared" si="13"/>
        <v>10</v>
      </c>
    </row>
    <row r="84" spans="4:24" ht="15.75" x14ac:dyDescent="0.25">
      <c r="D84"/>
      <c r="E84" s="51"/>
      <c r="F84" s="57"/>
      <c r="G84" s="58"/>
      <c r="H84" s="71">
        <f t="shared" si="7"/>
        <v>0</v>
      </c>
      <c r="I84" s="57"/>
      <c r="J84" s="58"/>
      <c r="K84" s="71">
        <f t="shared" si="8"/>
        <v>0</v>
      </c>
      <c r="L84" s="57"/>
      <c r="M84" s="58"/>
      <c r="N84" s="71">
        <f t="shared" si="9"/>
        <v>0</v>
      </c>
      <c r="O84" s="57"/>
      <c r="P84" s="58"/>
      <c r="Q84" s="71">
        <f t="shared" si="10"/>
        <v>0</v>
      </c>
      <c r="R84" s="57"/>
      <c r="S84" s="58"/>
      <c r="T84" s="71">
        <f t="shared" si="11"/>
        <v>0</v>
      </c>
      <c r="U84" s="57"/>
      <c r="V84" s="58"/>
      <c r="W84" s="71">
        <f t="shared" si="12"/>
        <v>0</v>
      </c>
      <c r="X84" s="69">
        <f t="shared" si="13"/>
        <v>10</v>
      </c>
    </row>
    <row r="85" spans="4:24" ht="15.75" x14ac:dyDescent="0.25">
      <c r="D85"/>
      <c r="E85" s="51"/>
      <c r="F85" s="57"/>
      <c r="G85" s="58"/>
      <c r="H85" s="71">
        <f t="shared" si="7"/>
        <v>0</v>
      </c>
      <c r="I85" s="57"/>
      <c r="J85" s="58"/>
      <c r="K85" s="71">
        <f t="shared" si="8"/>
        <v>0</v>
      </c>
      <c r="L85" s="57"/>
      <c r="M85" s="58"/>
      <c r="N85" s="71">
        <f t="shared" si="9"/>
        <v>0</v>
      </c>
      <c r="O85" s="57"/>
      <c r="P85" s="58"/>
      <c r="Q85" s="71">
        <f t="shared" si="10"/>
        <v>0</v>
      </c>
      <c r="R85" s="57"/>
      <c r="S85" s="58"/>
      <c r="T85" s="71">
        <f t="shared" si="11"/>
        <v>0</v>
      </c>
      <c r="U85" s="57"/>
      <c r="V85" s="58"/>
      <c r="W85" s="71">
        <f t="shared" si="12"/>
        <v>0</v>
      </c>
      <c r="X85" s="69">
        <f t="shared" si="13"/>
        <v>10</v>
      </c>
    </row>
    <row r="86" spans="4:24" ht="15.75" x14ac:dyDescent="0.25">
      <c r="D86"/>
      <c r="E86" s="51"/>
      <c r="F86" s="57"/>
      <c r="G86" s="58"/>
      <c r="H86" s="71">
        <f t="shared" si="7"/>
        <v>0</v>
      </c>
      <c r="I86" s="57"/>
      <c r="J86" s="58"/>
      <c r="K86" s="71">
        <f t="shared" si="8"/>
        <v>0</v>
      </c>
      <c r="L86" s="57"/>
      <c r="M86" s="58"/>
      <c r="N86" s="71">
        <f t="shared" si="9"/>
        <v>0</v>
      </c>
      <c r="O86" s="57"/>
      <c r="P86" s="58"/>
      <c r="Q86" s="71">
        <f t="shared" si="10"/>
        <v>0</v>
      </c>
      <c r="R86" s="57"/>
      <c r="S86" s="58"/>
      <c r="T86" s="71">
        <f t="shared" si="11"/>
        <v>0</v>
      </c>
      <c r="U86" s="57"/>
      <c r="V86" s="58"/>
      <c r="W86" s="71">
        <f t="shared" si="12"/>
        <v>0</v>
      </c>
      <c r="X86" s="69">
        <f t="shared" si="13"/>
        <v>10</v>
      </c>
    </row>
    <row r="87" spans="4:24" ht="15.75" x14ac:dyDescent="0.25">
      <c r="E87" s="69" t="s">
        <v>892</v>
      </c>
      <c r="F87" s="70"/>
      <c r="G87" s="71"/>
      <c r="H87" s="72">
        <f>SUM(H47:H86)</f>
        <v>0</v>
      </c>
      <c r="I87" s="70"/>
      <c r="J87" s="71"/>
      <c r="K87" s="72">
        <f>SUM(K47:K86)</f>
        <v>0</v>
      </c>
      <c r="L87" s="70"/>
      <c r="M87" s="71"/>
      <c r="N87" s="72">
        <f>SUM(N47:N86)</f>
        <v>0</v>
      </c>
      <c r="O87" s="70"/>
      <c r="P87" s="71"/>
      <c r="Q87" s="72">
        <f>SUM(Q47:Q86)</f>
        <v>0</v>
      </c>
      <c r="R87" s="70"/>
      <c r="S87" s="71"/>
      <c r="T87" s="72">
        <f>SUM(T47:T86)</f>
        <v>0</v>
      </c>
      <c r="U87" s="70"/>
      <c r="V87" s="71"/>
      <c r="W87" s="72">
        <f>SUM(W47:W86)</f>
        <v>0</v>
      </c>
      <c r="X87" s="69"/>
    </row>
    <row r="89" spans="4:24" ht="15.75" x14ac:dyDescent="0.25">
      <c r="E89" s="74" t="s">
        <v>893</v>
      </c>
      <c r="F89" s="67" t="s">
        <v>886</v>
      </c>
      <c r="G89" s="67" t="s">
        <v>887</v>
      </c>
      <c r="H89" s="67" t="s">
        <v>888</v>
      </c>
      <c r="I89" s="67" t="s">
        <v>886</v>
      </c>
      <c r="J89" s="67" t="s">
        <v>887</v>
      </c>
      <c r="K89" s="67" t="s">
        <v>888</v>
      </c>
      <c r="L89" s="67" t="s">
        <v>886</v>
      </c>
      <c r="M89" s="67" t="s">
        <v>887</v>
      </c>
      <c r="N89" s="67" t="s">
        <v>888</v>
      </c>
      <c r="O89" s="67" t="s">
        <v>886</v>
      </c>
      <c r="P89" s="67" t="s">
        <v>887</v>
      </c>
      <c r="Q89" s="67" t="s">
        <v>888</v>
      </c>
      <c r="R89" s="67" t="s">
        <v>886</v>
      </c>
      <c r="S89" s="67" t="s">
        <v>887</v>
      </c>
      <c r="T89" s="67" t="s">
        <v>888</v>
      </c>
      <c r="U89" s="67" t="s">
        <v>886</v>
      </c>
      <c r="V89" s="67" t="s">
        <v>887</v>
      </c>
      <c r="W89" s="75" t="s">
        <v>888</v>
      </c>
      <c r="X89" s="67" t="s">
        <v>889</v>
      </c>
    </row>
    <row r="90" spans="4:24" ht="15.75" x14ac:dyDescent="0.25">
      <c r="E90" s="51"/>
      <c r="F90" s="57"/>
      <c r="G90" s="58"/>
      <c r="H90" s="71">
        <f t="shared" ref="H90:H121" si="14">F90*G90</f>
        <v>0</v>
      </c>
      <c r="I90" s="57"/>
      <c r="J90" s="58"/>
      <c r="K90" s="71">
        <f t="shared" ref="K90:K121" si="15">I90*J90</f>
        <v>0</v>
      </c>
      <c r="L90" s="57"/>
      <c r="M90" s="58"/>
      <c r="N90" s="71">
        <f t="shared" ref="N90:N121" si="16">L90*M90</f>
        <v>0</v>
      </c>
      <c r="O90" s="57"/>
      <c r="P90" s="58"/>
      <c r="Q90" s="71">
        <f t="shared" ref="Q90:Q121" si="17">O90*P90</f>
        <v>0</v>
      </c>
      <c r="R90" s="57"/>
      <c r="S90" s="58"/>
      <c r="T90" s="71">
        <f t="shared" ref="T90:T121" si="18">R90*S90</f>
        <v>0</v>
      </c>
      <c r="U90" s="57"/>
      <c r="V90" s="58"/>
      <c r="W90" s="71">
        <f t="shared" ref="W90:W121" si="19">U90*V90</f>
        <v>0</v>
      </c>
      <c r="X90" s="69">
        <f>BASES!G36</f>
        <v>5</v>
      </c>
    </row>
    <row r="91" spans="4:24" ht="15.75" x14ac:dyDescent="0.25">
      <c r="E91" s="51"/>
      <c r="F91" s="57"/>
      <c r="G91" s="58"/>
      <c r="H91" s="71">
        <f t="shared" si="14"/>
        <v>0</v>
      </c>
      <c r="I91" s="57"/>
      <c r="J91" s="58"/>
      <c r="K91" s="71">
        <f t="shared" si="15"/>
        <v>0</v>
      </c>
      <c r="L91" s="57"/>
      <c r="M91" s="58"/>
      <c r="N91" s="71">
        <f t="shared" si="16"/>
        <v>0</v>
      </c>
      <c r="O91" s="57"/>
      <c r="P91" s="58"/>
      <c r="Q91" s="71">
        <f t="shared" si="17"/>
        <v>0</v>
      </c>
      <c r="R91" s="57"/>
      <c r="S91" s="58"/>
      <c r="T91" s="71">
        <f t="shared" si="18"/>
        <v>0</v>
      </c>
      <c r="U91" s="57"/>
      <c r="V91" s="58"/>
      <c r="W91" s="71">
        <f t="shared" si="19"/>
        <v>0</v>
      </c>
      <c r="X91" s="69">
        <f t="shared" ref="X91:X122" si="20">X90</f>
        <v>5</v>
      </c>
    </row>
    <row r="92" spans="4:24" ht="15.75" x14ac:dyDescent="0.25">
      <c r="E92" s="51"/>
      <c r="F92" s="57"/>
      <c r="G92" s="58"/>
      <c r="H92" s="71">
        <f t="shared" si="14"/>
        <v>0</v>
      </c>
      <c r="I92" s="57"/>
      <c r="J92" s="58"/>
      <c r="K92" s="71">
        <f t="shared" si="15"/>
        <v>0</v>
      </c>
      <c r="L92" s="57"/>
      <c r="M92" s="58"/>
      <c r="N92" s="71">
        <f t="shared" si="16"/>
        <v>0</v>
      </c>
      <c r="O92" s="57"/>
      <c r="P92" s="58"/>
      <c r="Q92" s="71">
        <f t="shared" si="17"/>
        <v>0</v>
      </c>
      <c r="R92" s="57"/>
      <c r="S92" s="58"/>
      <c r="T92" s="71">
        <f t="shared" si="18"/>
        <v>0</v>
      </c>
      <c r="U92" s="57"/>
      <c r="V92" s="58"/>
      <c r="W92" s="71">
        <f t="shared" si="19"/>
        <v>0</v>
      </c>
      <c r="X92" s="69">
        <f t="shared" si="20"/>
        <v>5</v>
      </c>
    </row>
    <row r="93" spans="4:24" ht="15.75" x14ac:dyDescent="0.25">
      <c r="E93" s="51"/>
      <c r="F93" s="57"/>
      <c r="G93" s="58"/>
      <c r="H93" s="71">
        <f t="shared" si="14"/>
        <v>0</v>
      </c>
      <c r="I93" s="57"/>
      <c r="J93" s="58"/>
      <c r="K93" s="71">
        <f t="shared" si="15"/>
        <v>0</v>
      </c>
      <c r="L93" s="57"/>
      <c r="M93" s="58"/>
      <c r="N93" s="71">
        <f t="shared" si="16"/>
        <v>0</v>
      </c>
      <c r="O93" s="57"/>
      <c r="P93" s="58"/>
      <c r="Q93" s="71">
        <f t="shared" si="17"/>
        <v>0</v>
      </c>
      <c r="R93" s="57"/>
      <c r="S93" s="58"/>
      <c r="T93" s="71">
        <f t="shared" si="18"/>
        <v>0</v>
      </c>
      <c r="U93" s="57"/>
      <c r="V93" s="58"/>
      <c r="W93" s="71">
        <f t="shared" si="19"/>
        <v>0</v>
      </c>
      <c r="X93" s="69">
        <f t="shared" si="20"/>
        <v>5</v>
      </c>
    </row>
    <row r="94" spans="4:24" ht="15.75" x14ac:dyDescent="0.25">
      <c r="E94" s="51"/>
      <c r="F94" s="57"/>
      <c r="G94" s="58"/>
      <c r="H94" s="71">
        <f t="shared" si="14"/>
        <v>0</v>
      </c>
      <c r="I94" s="57"/>
      <c r="J94" s="58"/>
      <c r="K94" s="71">
        <f t="shared" si="15"/>
        <v>0</v>
      </c>
      <c r="L94" s="57"/>
      <c r="M94" s="58"/>
      <c r="N94" s="71">
        <f t="shared" si="16"/>
        <v>0</v>
      </c>
      <c r="O94" s="57"/>
      <c r="P94" s="58"/>
      <c r="Q94" s="71">
        <f t="shared" si="17"/>
        <v>0</v>
      </c>
      <c r="R94" s="57"/>
      <c r="S94" s="58"/>
      <c r="T94" s="71">
        <f t="shared" si="18"/>
        <v>0</v>
      </c>
      <c r="U94" s="57"/>
      <c r="V94" s="58"/>
      <c r="W94" s="71">
        <f t="shared" si="19"/>
        <v>0</v>
      </c>
      <c r="X94" s="69">
        <f t="shared" si="20"/>
        <v>5</v>
      </c>
    </row>
    <row r="95" spans="4:24" ht="15.75" x14ac:dyDescent="0.25">
      <c r="E95" s="51"/>
      <c r="F95" s="57"/>
      <c r="G95" s="58"/>
      <c r="H95" s="71">
        <f t="shared" si="14"/>
        <v>0</v>
      </c>
      <c r="I95" s="57"/>
      <c r="J95" s="58"/>
      <c r="K95" s="71">
        <f t="shared" si="15"/>
        <v>0</v>
      </c>
      <c r="L95" s="57"/>
      <c r="M95" s="58"/>
      <c r="N95" s="71">
        <f t="shared" si="16"/>
        <v>0</v>
      </c>
      <c r="O95" s="57"/>
      <c r="P95" s="58"/>
      <c r="Q95" s="71">
        <f t="shared" si="17"/>
        <v>0</v>
      </c>
      <c r="R95" s="57"/>
      <c r="S95" s="58"/>
      <c r="T95" s="71">
        <f t="shared" si="18"/>
        <v>0</v>
      </c>
      <c r="U95" s="57"/>
      <c r="V95" s="58"/>
      <c r="W95" s="71">
        <f t="shared" si="19"/>
        <v>0</v>
      </c>
      <c r="X95" s="69">
        <f t="shared" si="20"/>
        <v>5</v>
      </c>
    </row>
    <row r="96" spans="4:24" ht="15.75" x14ac:dyDescent="0.25">
      <c r="E96" s="51"/>
      <c r="F96" s="57"/>
      <c r="G96" s="58"/>
      <c r="H96" s="71">
        <f t="shared" si="14"/>
        <v>0</v>
      </c>
      <c r="I96" s="57"/>
      <c r="J96" s="58"/>
      <c r="K96" s="71">
        <f t="shared" si="15"/>
        <v>0</v>
      </c>
      <c r="L96" s="57"/>
      <c r="M96" s="58"/>
      <c r="N96" s="71">
        <f t="shared" si="16"/>
        <v>0</v>
      </c>
      <c r="O96" s="57"/>
      <c r="P96" s="58"/>
      <c r="Q96" s="71">
        <f t="shared" si="17"/>
        <v>0</v>
      </c>
      <c r="R96" s="57"/>
      <c r="S96" s="58"/>
      <c r="T96" s="71">
        <f t="shared" si="18"/>
        <v>0</v>
      </c>
      <c r="U96" s="57"/>
      <c r="V96" s="58"/>
      <c r="W96" s="71">
        <f t="shared" si="19"/>
        <v>0</v>
      </c>
      <c r="X96" s="69">
        <f t="shared" si="20"/>
        <v>5</v>
      </c>
    </row>
    <row r="97" spans="5:24" ht="15.75" x14ac:dyDescent="0.25">
      <c r="E97" s="51"/>
      <c r="F97" s="57"/>
      <c r="G97" s="58"/>
      <c r="H97" s="71">
        <f t="shared" si="14"/>
        <v>0</v>
      </c>
      <c r="I97" s="57"/>
      <c r="J97" s="58"/>
      <c r="K97" s="71">
        <f t="shared" si="15"/>
        <v>0</v>
      </c>
      <c r="L97" s="57"/>
      <c r="M97" s="58"/>
      <c r="N97" s="71">
        <f t="shared" si="16"/>
        <v>0</v>
      </c>
      <c r="O97" s="57"/>
      <c r="P97" s="58"/>
      <c r="Q97" s="71">
        <f t="shared" si="17"/>
        <v>0</v>
      </c>
      <c r="R97" s="57"/>
      <c r="S97" s="58"/>
      <c r="T97" s="71">
        <f t="shared" si="18"/>
        <v>0</v>
      </c>
      <c r="U97" s="57"/>
      <c r="V97" s="58"/>
      <c r="W97" s="71">
        <f t="shared" si="19"/>
        <v>0</v>
      </c>
      <c r="X97" s="69">
        <f t="shared" si="20"/>
        <v>5</v>
      </c>
    </row>
    <row r="98" spans="5:24" ht="15.75" x14ac:dyDescent="0.25">
      <c r="E98" s="51"/>
      <c r="F98" s="57"/>
      <c r="G98" s="58"/>
      <c r="H98" s="71">
        <f t="shared" si="14"/>
        <v>0</v>
      </c>
      <c r="I98" s="57"/>
      <c r="J98" s="58"/>
      <c r="K98" s="71">
        <f t="shared" si="15"/>
        <v>0</v>
      </c>
      <c r="L98" s="57"/>
      <c r="M98" s="58"/>
      <c r="N98" s="71">
        <f t="shared" si="16"/>
        <v>0</v>
      </c>
      <c r="O98" s="57"/>
      <c r="P98" s="58"/>
      <c r="Q98" s="71">
        <f t="shared" si="17"/>
        <v>0</v>
      </c>
      <c r="R98" s="57"/>
      <c r="S98" s="58"/>
      <c r="T98" s="71">
        <f t="shared" si="18"/>
        <v>0</v>
      </c>
      <c r="U98" s="57"/>
      <c r="V98" s="58"/>
      <c r="W98" s="71">
        <f t="shared" si="19"/>
        <v>0</v>
      </c>
      <c r="X98" s="69">
        <f t="shared" si="20"/>
        <v>5</v>
      </c>
    </row>
    <row r="99" spans="5:24" ht="15.75" x14ac:dyDescent="0.25">
      <c r="E99" s="51"/>
      <c r="F99" s="57"/>
      <c r="G99" s="58"/>
      <c r="H99" s="71">
        <f t="shared" si="14"/>
        <v>0</v>
      </c>
      <c r="I99" s="57"/>
      <c r="J99" s="58"/>
      <c r="K99" s="71">
        <f t="shared" si="15"/>
        <v>0</v>
      </c>
      <c r="L99" s="57"/>
      <c r="M99" s="58"/>
      <c r="N99" s="71">
        <f t="shared" si="16"/>
        <v>0</v>
      </c>
      <c r="O99" s="57"/>
      <c r="P99" s="58"/>
      <c r="Q99" s="71">
        <f t="shared" si="17"/>
        <v>0</v>
      </c>
      <c r="R99" s="57"/>
      <c r="S99" s="58"/>
      <c r="T99" s="71">
        <f t="shared" si="18"/>
        <v>0</v>
      </c>
      <c r="U99" s="57"/>
      <c r="V99" s="58"/>
      <c r="W99" s="71">
        <f t="shared" si="19"/>
        <v>0</v>
      </c>
      <c r="X99" s="69">
        <f t="shared" si="20"/>
        <v>5</v>
      </c>
    </row>
    <row r="100" spans="5:24" ht="15.75" x14ac:dyDescent="0.25">
      <c r="E100" s="51"/>
      <c r="F100" s="57"/>
      <c r="G100" s="58"/>
      <c r="H100" s="71">
        <f t="shared" si="14"/>
        <v>0</v>
      </c>
      <c r="I100" s="57"/>
      <c r="J100" s="58"/>
      <c r="K100" s="71">
        <f t="shared" si="15"/>
        <v>0</v>
      </c>
      <c r="L100" s="57"/>
      <c r="M100" s="58"/>
      <c r="N100" s="71">
        <f t="shared" si="16"/>
        <v>0</v>
      </c>
      <c r="O100" s="57"/>
      <c r="P100" s="58"/>
      <c r="Q100" s="71">
        <f t="shared" si="17"/>
        <v>0</v>
      </c>
      <c r="R100" s="57"/>
      <c r="S100" s="58"/>
      <c r="T100" s="71">
        <f t="shared" si="18"/>
        <v>0</v>
      </c>
      <c r="U100" s="57"/>
      <c r="V100" s="58"/>
      <c r="W100" s="71">
        <f t="shared" si="19"/>
        <v>0</v>
      </c>
      <c r="X100" s="69">
        <f t="shared" si="20"/>
        <v>5</v>
      </c>
    </row>
    <row r="101" spans="5:24" ht="15.75" x14ac:dyDescent="0.25">
      <c r="E101" s="51"/>
      <c r="F101" s="57"/>
      <c r="G101" s="58"/>
      <c r="H101" s="71">
        <f t="shared" si="14"/>
        <v>0</v>
      </c>
      <c r="I101" s="57"/>
      <c r="J101" s="58"/>
      <c r="K101" s="71">
        <f t="shared" si="15"/>
        <v>0</v>
      </c>
      <c r="L101" s="57"/>
      <c r="M101" s="58"/>
      <c r="N101" s="71">
        <f t="shared" si="16"/>
        <v>0</v>
      </c>
      <c r="O101" s="57"/>
      <c r="P101" s="58"/>
      <c r="Q101" s="71">
        <f t="shared" si="17"/>
        <v>0</v>
      </c>
      <c r="R101" s="57"/>
      <c r="S101" s="58"/>
      <c r="T101" s="71">
        <f t="shared" si="18"/>
        <v>0</v>
      </c>
      <c r="U101" s="57"/>
      <c r="V101" s="58"/>
      <c r="W101" s="71">
        <f t="shared" si="19"/>
        <v>0</v>
      </c>
      <c r="X101" s="69">
        <f t="shared" si="20"/>
        <v>5</v>
      </c>
    </row>
    <row r="102" spans="5:24" ht="15.75" x14ac:dyDescent="0.25">
      <c r="E102" s="51"/>
      <c r="F102" s="57"/>
      <c r="G102" s="58"/>
      <c r="H102" s="71">
        <f t="shared" si="14"/>
        <v>0</v>
      </c>
      <c r="I102" s="57"/>
      <c r="J102" s="58"/>
      <c r="K102" s="71">
        <f t="shared" si="15"/>
        <v>0</v>
      </c>
      <c r="L102" s="57"/>
      <c r="M102" s="58"/>
      <c r="N102" s="71">
        <f t="shared" si="16"/>
        <v>0</v>
      </c>
      <c r="O102" s="57"/>
      <c r="P102" s="58"/>
      <c r="Q102" s="71">
        <f t="shared" si="17"/>
        <v>0</v>
      </c>
      <c r="R102" s="57"/>
      <c r="S102" s="58"/>
      <c r="T102" s="71">
        <f t="shared" si="18"/>
        <v>0</v>
      </c>
      <c r="U102" s="57"/>
      <c r="V102" s="58"/>
      <c r="W102" s="71">
        <f t="shared" si="19"/>
        <v>0</v>
      </c>
      <c r="X102" s="69">
        <f t="shared" si="20"/>
        <v>5</v>
      </c>
    </row>
    <row r="103" spans="5:24" ht="15.75" x14ac:dyDescent="0.25">
      <c r="E103" s="51"/>
      <c r="F103" s="57"/>
      <c r="G103" s="58"/>
      <c r="H103" s="71">
        <f t="shared" si="14"/>
        <v>0</v>
      </c>
      <c r="I103" s="57"/>
      <c r="J103" s="58"/>
      <c r="K103" s="71">
        <f t="shared" si="15"/>
        <v>0</v>
      </c>
      <c r="L103" s="57"/>
      <c r="M103" s="58"/>
      <c r="N103" s="71">
        <f t="shared" si="16"/>
        <v>0</v>
      </c>
      <c r="O103" s="57"/>
      <c r="P103" s="58"/>
      <c r="Q103" s="71">
        <f t="shared" si="17"/>
        <v>0</v>
      </c>
      <c r="R103" s="57"/>
      <c r="S103" s="58"/>
      <c r="T103" s="71">
        <f t="shared" si="18"/>
        <v>0</v>
      </c>
      <c r="U103" s="57"/>
      <c r="V103" s="58"/>
      <c r="W103" s="71">
        <f t="shared" si="19"/>
        <v>0</v>
      </c>
      <c r="X103" s="69">
        <f t="shared" si="20"/>
        <v>5</v>
      </c>
    </row>
    <row r="104" spans="5:24" ht="15.75" x14ac:dyDescent="0.25">
      <c r="E104" s="51"/>
      <c r="F104" s="57"/>
      <c r="G104" s="58"/>
      <c r="H104" s="71">
        <f t="shared" si="14"/>
        <v>0</v>
      </c>
      <c r="I104" s="57"/>
      <c r="J104" s="58"/>
      <c r="K104" s="71">
        <f t="shared" si="15"/>
        <v>0</v>
      </c>
      <c r="L104" s="57"/>
      <c r="M104" s="58"/>
      <c r="N104" s="71">
        <f t="shared" si="16"/>
        <v>0</v>
      </c>
      <c r="O104" s="57"/>
      <c r="P104" s="58"/>
      <c r="Q104" s="71">
        <f t="shared" si="17"/>
        <v>0</v>
      </c>
      <c r="R104" s="57"/>
      <c r="S104" s="58"/>
      <c r="T104" s="71">
        <f t="shared" si="18"/>
        <v>0</v>
      </c>
      <c r="U104" s="57"/>
      <c r="V104" s="58"/>
      <c r="W104" s="71">
        <f t="shared" si="19"/>
        <v>0</v>
      </c>
      <c r="X104" s="69">
        <f t="shared" si="20"/>
        <v>5</v>
      </c>
    </row>
    <row r="105" spans="5:24" ht="15.75" x14ac:dyDescent="0.25">
      <c r="E105" s="51"/>
      <c r="F105" s="57"/>
      <c r="G105" s="58"/>
      <c r="H105" s="71">
        <f t="shared" si="14"/>
        <v>0</v>
      </c>
      <c r="I105" s="57"/>
      <c r="J105" s="58"/>
      <c r="K105" s="71">
        <f t="shared" si="15"/>
        <v>0</v>
      </c>
      <c r="L105" s="57"/>
      <c r="M105" s="58"/>
      <c r="N105" s="71">
        <f t="shared" si="16"/>
        <v>0</v>
      </c>
      <c r="O105" s="57"/>
      <c r="P105" s="58"/>
      <c r="Q105" s="71">
        <f t="shared" si="17"/>
        <v>0</v>
      </c>
      <c r="R105" s="57"/>
      <c r="S105" s="58"/>
      <c r="T105" s="71">
        <f t="shared" si="18"/>
        <v>0</v>
      </c>
      <c r="U105" s="57"/>
      <c r="V105" s="58"/>
      <c r="W105" s="71">
        <f t="shared" si="19"/>
        <v>0</v>
      </c>
      <c r="X105" s="69">
        <f t="shared" si="20"/>
        <v>5</v>
      </c>
    </row>
    <row r="106" spans="5:24" ht="15.75" x14ac:dyDescent="0.25">
      <c r="E106" s="51"/>
      <c r="F106" s="57"/>
      <c r="G106" s="58"/>
      <c r="H106" s="71">
        <f t="shared" si="14"/>
        <v>0</v>
      </c>
      <c r="I106" s="57"/>
      <c r="J106" s="58"/>
      <c r="K106" s="71">
        <f t="shared" si="15"/>
        <v>0</v>
      </c>
      <c r="L106" s="57"/>
      <c r="M106" s="58"/>
      <c r="N106" s="71">
        <f t="shared" si="16"/>
        <v>0</v>
      </c>
      <c r="O106" s="57"/>
      <c r="P106" s="58"/>
      <c r="Q106" s="71">
        <f t="shared" si="17"/>
        <v>0</v>
      </c>
      <c r="R106" s="57"/>
      <c r="S106" s="58"/>
      <c r="T106" s="71">
        <f t="shared" si="18"/>
        <v>0</v>
      </c>
      <c r="U106" s="57"/>
      <c r="V106" s="58"/>
      <c r="W106" s="71">
        <f t="shared" si="19"/>
        <v>0</v>
      </c>
      <c r="X106" s="69">
        <f t="shared" si="20"/>
        <v>5</v>
      </c>
    </row>
    <row r="107" spans="5:24" ht="15.75" x14ac:dyDescent="0.25">
      <c r="E107" s="51"/>
      <c r="F107" s="57"/>
      <c r="G107" s="58"/>
      <c r="H107" s="71">
        <f t="shared" si="14"/>
        <v>0</v>
      </c>
      <c r="I107" s="57"/>
      <c r="J107" s="58"/>
      <c r="K107" s="71">
        <f t="shared" si="15"/>
        <v>0</v>
      </c>
      <c r="L107" s="57"/>
      <c r="M107" s="58"/>
      <c r="N107" s="71">
        <f t="shared" si="16"/>
        <v>0</v>
      </c>
      <c r="O107" s="57"/>
      <c r="P107" s="58"/>
      <c r="Q107" s="71">
        <f t="shared" si="17"/>
        <v>0</v>
      </c>
      <c r="R107" s="57"/>
      <c r="S107" s="58"/>
      <c r="T107" s="71">
        <f t="shared" si="18"/>
        <v>0</v>
      </c>
      <c r="U107" s="57"/>
      <c r="V107" s="58"/>
      <c r="W107" s="71">
        <f t="shared" si="19"/>
        <v>0</v>
      </c>
      <c r="X107" s="69">
        <f t="shared" si="20"/>
        <v>5</v>
      </c>
    </row>
    <row r="108" spans="5:24" ht="15.75" x14ac:dyDescent="0.25">
      <c r="E108" s="51"/>
      <c r="F108" s="57"/>
      <c r="G108" s="58"/>
      <c r="H108" s="71">
        <f t="shared" si="14"/>
        <v>0</v>
      </c>
      <c r="I108" s="57"/>
      <c r="J108" s="58"/>
      <c r="K108" s="71">
        <f t="shared" si="15"/>
        <v>0</v>
      </c>
      <c r="L108" s="57"/>
      <c r="M108" s="58"/>
      <c r="N108" s="71">
        <f t="shared" si="16"/>
        <v>0</v>
      </c>
      <c r="O108" s="57"/>
      <c r="P108" s="58"/>
      <c r="Q108" s="71">
        <f t="shared" si="17"/>
        <v>0</v>
      </c>
      <c r="R108" s="57"/>
      <c r="S108" s="58"/>
      <c r="T108" s="71">
        <f t="shared" si="18"/>
        <v>0</v>
      </c>
      <c r="U108" s="57"/>
      <c r="V108" s="58"/>
      <c r="W108" s="71">
        <f t="shared" si="19"/>
        <v>0</v>
      </c>
      <c r="X108" s="69">
        <f t="shared" si="20"/>
        <v>5</v>
      </c>
    </row>
    <row r="109" spans="5:24" ht="15.75" x14ac:dyDescent="0.25">
      <c r="E109" s="51"/>
      <c r="F109" s="57"/>
      <c r="G109" s="58"/>
      <c r="H109" s="71">
        <f t="shared" si="14"/>
        <v>0</v>
      </c>
      <c r="I109" s="57"/>
      <c r="J109" s="58"/>
      <c r="K109" s="71">
        <f t="shared" si="15"/>
        <v>0</v>
      </c>
      <c r="L109" s="57"/>
      <c r="M109" s="58"/>
      <c r="N109" s="71">
        <f t="shared" si="16"/>
        <v>0</v>
      </c>
      <c r="O109" s="57"/>
      <c r="P109" s="58"/>
      <c r="Q109" s="71">
        <f t="shared" si="17"/>
        <v>0</v>
      </c>
      <c r="R109" s="57"/>
      <c r="S109" s="58"/>
      <c r="T109" s="71">
        <f t="shared" si="18"/>
        <v>0</v>
      </c>
      <c r="U109" s="57"/>
      <c r="V109" s="58"/>
      <c r="W109" s="71">
        <f t="shared" si="19"/>
        <v>0</v>
      </c>
      <c r="X109" s="69">
        <f t="shared" si="20"/>
        <v>5</v>
      </c>
    </row>
    <row r="110" spans="5:24" ht="15.75" x14ac:dyDescent="0.25">
      <c r="E110" s="51"/>
      <c r="F110" s="57"/>
      <c r="G110" s="58"/>
      <c r="H110" s="71">
        <f t="shared" si="14"/>
        <v>0</v>
      </c>
      <c r="I110" s="57"/>
      <c r="J110" s="58"/>
      <c r="K110" s="71">
        <f t="shared" si="15"/>
        <v>0</v>
      </c>
      <c r="L110" s="57"/>
      <c r="M110" s="58"/>
      <c r="N110" s="71">
        <f t="shared" si="16"/>
        <v>0</v>
      </c>
      <c r="O110" s="57"/>
      <c r="P110" s="58"/>
      <c r="Q110" s="71">
        <f t="shared" si="17"/>
        <v>0</v>
      </c>
      <c r="R110" s="57"/>
      <c r="S110" s="58"/>
      <c r="T110" s="71">
        <f t="shared" si="18"/>
        <v>0</v>
      </c>
      <c r="U110" s="57"/>
      <c r="V110" s="58"/>
      <c r="W110" s="71">
        <f t="shared" si="19"/>
        <v>0</v>
      </c>
      <c r="X110" s="69">
        <f t="shared" si="20"/>
        <v>5</v>
      </c>
    </row>
    <row r="111" spans="5:24" ht="15.75" x14ac:dyDescent="0.25">
      <c r="E111" s="51"/>
      <c r="F111" s="57"/>
      <c r="G111" s="58"/>
      <c r="H111" s="71">
        <f t="shared" si="14"/>
        <v>0</v>
      </c>
      <c r="I111" s="57"/>
      <c r="J111" s="58"/>
      <c r="K111" s="71">
        <f t="shared" si="15"/>
        <v>0</v>
      </c>
      <c r="L111" s="57"/>
      <c r="M111" s="58"/>
      <c r="N111" s="71">
        <f t="shared" si="16"/>
        <v>0</v>
      </c>
      <c r="O111" s="57"/>
      <c r="P111" s="58"/>
      <c r="Q111" s="71">
        <f t="shared" si="17"/>
        <v>0</v>
      </c>
      <c r="R111" s="57"/>
      <c r="S111" s="58"/>
      <c r="T111" s="71">
        <f t="shared" si="18"/>
        <v>0</v>
      </c>
      <c r="U111" s="57"/>
      <c r="V111" s="58"/>
      <c r="W111" s="71">
        <f t="shared" si="19"/>
        <v>0</v>
      </c>
      <c r="X111" s="69">
        <f t="shared" si="20"/>
        <v>5</v>
      </c>
    </row>
    <row r="112" spans="5:24" ht="15.75" x14ac:dyDescent="0.25">
      <c r="E112" s="51"/>
      <c r="F112" s="57"/>
      <c r="G112" s="58"/>
      <c r="H112" s="71">
        <f t="shared" si="14"/>
        <v>0</v>
      </c>
      <c r="I112" s="57"/>
      <c r="J112" s="58"/>
      <c r="K112" s="71">
        <f t="shared" si="15"/>
        <v>0</v>
      </c>
      <c r="L112" s="57"/>
      <c r="M112" s="58"/>
      <c r="N112" s="71">
        <f t="shared" si="16"/>
        <v>0</v>
      </c>
      <c r="O112" s="57"/>
      <c r="P112" s="58"/>
      <c r="Q112" s="71">
        <f t="shared" si="17"/>
        <v>0</v>
      </c>
      <c r="R112" s="57"/>
      <c r="S112" s="58"/>
      <c r="T112" s="71">
        <f t="shared" si="18"/>
        <v>0</v>
      </c>
      <c r="U112" s="57"/>
      <c r="V112" s="58"/>
      <c r="W112" s="71">
        <f t="shared" si="19"/>
        <v>0</v>
      </c>
      <c r="X112" s="69">
        <f t="shared" si="20"/>
        <v>5</v>
      </c>
    </row>
    <row r="113" spans="5:24" ht="15.75" x14ac:dyDescent="0.25">
      <c r="E113" s="51"/>
      <c r="F113" s="57"/>
      <c r="G113" s="58"/>
      <c r="H113" s="71">
        <f t="shared" si="14"/>
        <v>0</v>
      </c>
      <c r="I113" s="57"/>
      <c r="J113" s="58"/>
      <c r="K113" s="71">
        <f t="shared" si="15"/>
        <v>0</v>
      </c>
      <c r="L113" s="57"/>
      <c r="M113" s="58"/>
      <c r="N113" s="71">
        <f t="shared" si="16"/>
        <v>0</v>
      </c>
      <c r="O113" s="57"/>
      <c r="P113" s="58"/>
      <c r="Q113" s="71">
        <f t="shared" si="17"/>
        <v>0</v>
      </c>
      <c r="R113" s="57"/>
      <c r="S113" s="58"/>
      <c r="T113" s="71">
        <f t="shared" si="18"/>
        <v>0</v>
      </c>
      <c r="U113" s="57"/>
      <c r="V113" s="58"/>
      <c r="W113" s="71">
        <f t="shared" si="19"/>
        <v>0</v>
      </c>
      <c r="X113" s="69">
        <f t="shared" si="20"/>
        <v>5</v>
      </c>
    </row>
    <row r="114" spans="5:24" ht="15.75" x14ac:dyDescent="0.25">
      <c r="E114" s="51"/>
      <c r="F114" s="57"/>
      <c r="G114" s="58"/>
      <c r="H114" s="71">
        <f t="shared" si="14"/>
        <v>0</v>
      </c>
      <c r="I114" s="57"/>
      <c r="J114" s="58"/>
      <c r="K114" s="71">
        <f t="shared" si="15"/>
        <v>0</v>
      </c>
      <c r="L114" s="57"/>
      <c r="M114" s="58"/>
      <c r="N114" s="71">
        <f t="shared" si="16"/>
        <v>0</v>
      </c>
      <c r="O114" s="57"/>
      <c r="P114" s="58"/>
      <c r="Q114" s="71">
        <f t="shared" si="17"/>
        <v>0</v>
      </c>
      <c r="R114" s="57"/>
      <c r="S114" s="58"/>
      <c r="T114" s="71">
        <f t="shared" si="18"/>
        <v>0</v>
      </c>
      <c r="U114" s="57"/>
      <c r="V114" s="58"/>
      <c r="W114" s="71">
        <f t="shared" si="19"/>
        <v>0</v>
      </c>
      <c r="X114" s="69">
        <f t="shared" si="20"/>
        <v>5</v>
      </c>
    </row>
    <row r="115" spans="5:24" ht="15.75" x14ac:dyDescent="0.25">
      <c r="E115" s="51"/>
      <c r="F115" s="57"/>
      <c r="G115" s="58"/>
      <c r="H115" s="71">
        <f t="shared" si="14"/>
        <v>0</v>
      </c>
      <c r="I115" s="57"/>
      <c r="J115" s="58"/>
      <c r="K115" s="71">
        <f t="shared" si="15"/>
        <v>0</v>
      </c>
      <c r="L115" s="57"/>
      <c r="M115" s="58"/>
      <c r="N115" s="71">
        <f t="shared" si="16"/>
        <v>0</v>
      </c>
      <c r="O115" s="57"/>
      <c r="P115" s="58"/>
      <c r="Q115" s="71">
        <f t="shared" si="17"/>
        <v>0</v>
      </c>
      <c r="R115" s="57"/>
      <c r="S115" s="58"/>
      <c r="T115" s="71">
        <f t="shared" si="18"/>
        <v>0</v>
      </c>
      <c r="U115" s="57"/>
      <c r="V115" s="58"/>
      <c r="W115" s="71">
        <f t="shared" si="19"/>
        <v>0</v>
      </c>
      <c r="X115" s="69">
        <f t="shared" si="20"/>
        <v>5</v>
      </c>
    </row>
    <row r="116" spans="5:24" ht="15.75" x14ac:dyDescent="0.25">
      <c r="E116" s="51"/>
      <c r="F116" s="57"/>
      <c r="G116" s="58"/>
      <c r="H116" s="71">
        <f t="shared" si="14"/>
        <v>0</v>
      </c>
      <c r="I116" s="57"/>
      <c r="J116" s="58"/>
      <c r="K116" s="71">
        <f t="shared" si="15"/>
        <v>0</v>
      </c>
      <c r="L116" s="57"/>
      <c r="M116" s="58"/>
      <c r="N116" s="71">
        <f t="shared" si="16"/>
        <v>0</v>
      </c>
      <c r="O116" s="57"/>
      <c r="P116" s="58"/>
      <c r="Q116" s="71">
        <f t="shared" si="17"/>
        <v>0</v>
      </c>
      <c r="R116" s="57"/>
      <c r="S116" s="58"/>
      <c r="T116" s="71">
        <f t="shared" si="18"/>
        <v>0</v>
      </c>
      <c r="U116" s="57"/>
      <c r="V116" s="58"/>
      <c r="W116" s="71">
        <f t="shared" si="19"/>
        <v>0</v>
      </c>
      <c r="X116" s="69">
        <f t="shared" si="20"/>
        <v>5</v>
      </c>
    </row>
    <row r="117" spans="5:24" ht="15.75" x14ac:dyDescent="0.25">
      <c r="E117" s="51"/>
      <c r="F117" s="57"/>
      <c r="G117" s="58"/>
      <c r="H117" s="71">
        <f t="shared" si="14"/>
        <v>0</v>
      </c>
      <c r="I117" s="57"/>
      <c r="J117" s="58"/>
      <c r="K117" s="71">
        <f t="shared" si="15"/>
        <v>0</v>
      </c>
      <c r="L117" s="57"/>
      <c r="M117" s="58"/>
      <c r="N117" s="71">
        <f t="shared" si="16"/>
        <v>0</v>
      </c>
      <c r="O117" s="57"/>
      <c r="P117" s="58"/>
      <c r="Q117" s="71">
        <f t="shared" si="17"/>
        <v>0</v>
      </c>
      <c r="R117" s="57"/>
      <c r="S117" s="58"/>
      <c r="T117" s="71">
        <f t="shared" si="18"/>
        <v>0</v>
      </c>
      <c r="U117" s="57"/>
      <c r="V117" s="58"/>
      <c r="W117" s="71">
        <f t="shared" si="19"/>
        <v>0</v>
      </c>
      <c r="X117" s="69">
        <f t="shared" si="20"/>
        <v>5</v>
      </c>
    </row>
    <row r="118" spans="5:24" ht="15.75" x14ac:dyDescent="0.25">
      <c r="E118" s="51"/>
      <c r="F118" s="57"/>
      <c r="G118" s="58"/>
      <c r="H118" s="71">
        <f t="shared" si="14"/>
        <v>0</v>
      </c>
      <c r="I118" s="57"/>
      <c r="J118" s="58"/>
      <c r="K118" s="71">
        <f t="shared" si="15"/>
        <v>0</v>
      </c>
      <c r="L118" s="57"/>
      <c r="M118" s="58"/>
      <c r="N118" s="71">
        <f t="shared" si="16"/>
        <v>0</v>
      </c>
      <c r="O118" s="57"/>
      <c r="P118" s="58"/>
      <c r="Q118" s="71">
        <f t="shared" si="17"/>
        <v>0</v>
      </c>
      <c r="R118" s="57"/>
      <c r="S118" s="58"/>
      <c r="T118" s="71">
        <f t="shared" si="18"/>
        <v>0</v>
      </c>
      <c r="U118" s="57"/>
      <c r="V118" s="58"/>
      <c r="W118" s="71">
        <f t="shared" si="19"/>
        <v>0</v>
      </c>
      <c r="X118" s="69">
        <f t="shared" si="20"/>
        <v>5</v>
      </c>
    </row>
    <row r="119" spans="5:24" ht="15.75" x14ac:dyDescent="0.25">
      <c r="E119" s="51"/>
      <c r="F119" s="57"/>
      <c r="G119" s="58"/>
      <c r="H119" s="71">
        <f t="shared" si="14"/>
        <v>0</v>
      </c>
      <c r="I119" s="57"/>
      <c r="J119" s="58"/>
      <c r="K119" s="71">
        <f t="shared" si="15"/>
        <v>0</v>
      </c>
      <c r="L119" s="57"/>
      <c r="M119" s="58"/>
      <c r="N119" s="71">
        <f t="shared" si="16"/>
        <v>0</v>
      </c>
      <c r="O119" s="57"/>
      <c r="P119" s="58"/>
      <c r="Q119" s="71">
        <f t="shared" si="17"/>
        <v>0</v>
      </c>
      <c r="R119" s="57"/>
      <c r="S119" s="58"/>
      <c r="T119" s="71">
        <f t="shared" si="18"/>
        <v>0</v>
      </c>
      <c r="U119" s="57"/>
      <c r="V119" s="58"/>
      <c r="W119" s="71">
        <f t="shared" si="19"/>
        <v>0</v>
      </c>
      <c r="X119" s="69">
        <f t="shared" si="20"/>
        <v>5</v>
      </c>
    </row>
    <row r="120" spans="5:24" ht="15.75" x14ac:dyDescent="0.25">
      <c r="E120" s="51"/>
      <c r="F120" s="57"/>
      <c r="G120" s="58"/>
      <c r="H120" s="71">
        <f t="shared" si="14"/>
        <v>0</v>
      </c>
      <c r="I120" s="57"/>
      <c r="J120" s="58"/>
      <c r="K120" s="71">
        <f t="shared" si="15"/>
        <v>0</v>
      </c>
      <c r="L120" s="57"/>
      <c r="M120" s="58"/>
      <c r="N120" s="71">
        <f t="shared" si="16"/>
        <v>0</v>
      </c>
      <c r="O120" s="57"/>
      <c r="P120" s="58"/>
      <c r="Q120" s="71">
        <f t="shared" si="17"/>
        <v>0</v>
      </c>
      <c r="R120" s="57"/>
      <c r="S120" s="58"/>
      <c r="T120" s="71">
        <f t="shared" si="18"/>
        <v>0</v>
      </c>
      <c r="U120" s="57"/>
      <c r="V120" s="58"/>
      <c r="W120" s="71">
        <f t="shared" si="19"/>
        <v>0</v>
      </c>
      <c r="X120" s="69">
        <f t="shared" si="20"/>
        <v>5</v>
      </c>
    </row>
    <row r="121" spans="5:24" ht="15.75" x14ac:dyDescent="0.25">
      <c r="E121" s="51"/>
      <c r="F121" s="57"/>
      <c r="G121" s="58"/>
      <c r="H121" s="71">
        <f t="shared" si="14"/>
        <v>0</v>
      </c>
      <c r="I121" s="57"/>
      <c r="J121" s="58"/>
      <c r="K121" s="71">
        <f t="shared" si="15"/>
        <v>0</v>
      </c>
      <c r="L121" s="57"/>
      <c r="M121" s="58"/>
      <c r="N121" s="71">
        <f t="shared" si="16"/>
        <v>0</v>
      </c>
      <c r="O121" s="57"/>
      <c r="P121" s="58"/>
      <c r="Q121" s="71">
        <f t="shared" si="17"/>
        <v>0</v>
      </c>
      <c r="R121" s="57"/>
      <c r="S121" s="58"/>
      <c r="T121" s="71">
        <f t="shared" si="18"/>
        <v>0</v>
      </c>
      <c r="U121" s="57"/>
      <c r="V121" s="58"/>
      <c r="W121" s="71">
        <f t="shared" si="19"/>
        <v>0</v>
      </c>
      <c r="X121" s="69">
        <f t="shared" si="20"/>
        <v>5</v>
      </c>
    </row>
    <row r="122" spans="5:24" ht="15.75" x14ac:dyDescent="0.25">
      <c r="E122" s="51"/>
      <c r="F122" s="57"/>
      <c r="G122" s="58"/>
      <c r="H122" s="71">
        <f t="shared" ref="H122:H139" si="21">F122*G122</f>
        <v>0</v>
      </c>
      <c r="I122" s="57"/>
      <c r="J122" s="58"/>
      <c r="K122" s="71">
        <f t="shared" ref="K122:K139" si="22">I122*J122</f>
        <v>0</v>
      </c>
      <c r="L122" s="57"/>
      <c r="M122" s="58"/>
      <c r="N122" s="71">
        <f t="shared" ref="N122:N139" si="23">L122*M122</f>
        <v>0</v>
      </c>
      <c r="O122" s="57"/>
      <c r="P122" s="58"/>
      <c r="Q122" s="71">
        <f t="shared" ref="Q122:Q139" si="24">O122*P122</f>
        <v>0</v>
      </c>
      <c r="R122" s="57"/>
      <c r="S122" s="58"/>
      <c r="T122" s="71">
        <f t="shared" ref="T122:T139" si="25">R122*S122</f>
        <v>0</v>
      </c>
      <c r="U122" s="57"/>
      <c r="V122" s="58"/>
      <c r="W122" s="71">
        <f t="shared" ref="W122:W139" si="26">U122*V122</f>
        <v>0</v>
      </c>
      <c r="X122" s="69">
        <f t="shared" si="20"/>
        <v>5</v>
      </c>
    </row>
    <row r="123" spans="5:24" ht="15.75" x14ac:dyDescent="0.25">
      <c r="E123" s="51"/>
      <c r="F123" s="57"/>
      <c r="G123" s="58"/>
      <c r="H123" s="71">
        <f t="shared" si="21"/>
        <v>0</v>
      </c>
      <c r="I123" s="57"/>
      <c r="J123" s="58"/>
      <c r="K123" s="71">
        <f t="shared" si="22"/>
        <v>0</v>
      </c>
      <c r="L123" s="57"/>
      <c r="M123" s="58"/>
      <c r="N123" s="71">
        <f t="shared" si="23"/>
        <v>0</v>
      </c>
      <c r="O123" s="57"/>
      <c r="P123" s="58"/>
      <c r="Q123" s="71">
        <f t="shared" si="24"/>
        <v>0</v>
      </c>
      <c r="R123" s="57"/>
      <c r="S123" s="58"/>
      <c r="T123" s="71">
        <f t="shared" si="25"/>
        <v>0</v>
      </c>
      <c r="U123" s="57"/>
      <c r="V123" s="58"/>
      <c r="W123" s="71">
        <f t="shared" si="26"/>
        <v>0</v>
      </c>
      <c r="X123" s="69">
        <f t="shared" ref="X123:X139" si="27">X122</f>
        <v>5</v>
      </c>
    </row>
    <row r="124" spans="5:24" ht="15.75" x14ac:dyDescent="0.25">
      <c r="E124" s="51"/>
      <c r="F124" s="57"/>
      <c r="G124" s="58"/>
      <c r="H124" s="71">
        <f t="shared" si="21"/>
        <v>0</v>
      </c>
      <c r="I124" s="57"/>
      <c r="J124" s="58"/>
      <c r="K124" s="71">
        <f t="shared" si="22"/>
        <v>0</v>
      </c>
      <c r="L124" s="57"/>
      <c r="M124" s="58"/>
      <c r="N124" s="71">
        <f t="shared" si="23"/>
        <v>0</v>
      </c>
      <c r="O124" s="57"/>
      <c r="P124" s="58"/>
      <c r="Q124" s="71">
        <f t="shared" si="24"/>
        <v>0</v>
      </c>
      <c r="R124" s="57"/>
      <c r="S124" s="58"/>
      <c r="T124" s="71">
        <f t="shared" si="25"/>
        <v>0</v>
      </c>
      <c r="U124" s="57"/>
      <c r="V124" s="58"/>
      <c r="W124" s="71">
        <f t="shared" si="26"/>
        <v>0</v>
      </c>
      <c r="X124" s="69">
        <f t="shared" si="27"/>
        <v>5</v>
      </c>
    </row>
    <row r="125" spans="5:24" ht="15.75" x14ac:dyDescent="0.25">
      <c r="E125" s="51"/>
      <c r="F125" s="57"/>
      <c r="G125" s="58"/>
      <c r="H125" s="71">
        <f t="shared" si="21"/>
        <v>0</v>
      </c>
      <c r="I125" s="57"/>
      <c r="J125" s="58"/>
      <c r="K125" s="71">
        <f t="shared" si="22"/>
        <v>0</v>
      </c>
      <c r="L125" s="57"/>
      <c r="M125" s="58"/>
      <c r="N125" s="71">
        <f t="shared" si="23"/>
        <v>0</v>
      </c>
      <c r="O125" s="57"/>
      <c r="P125" s="58"/>
      <c r="Q125" s="71">
        <f t="shared" si="24"/>
        <v>0</v>
      </c>
      <c r="R125" s="57"/>
      <c r="S125" s="58"/>
      <c r="T125" s="71">
        <f t="shared" si="25"/>
        <v>0</v>
      </c>
      <c r="U125" s="57"/>
      <c r="V125" s="58"/>
      <c r="W125" s="71">
        <f t="shared" si="26"/>
        <v>0</v>
      </c>
      <c r="X125" s="69">
        <f t="shared" si="27"/>
        <v>5</v>
      </c>
    </row>
    <row r="126" spans="5:24" ht="15.75" x14ac:dyDescent="0.25">
      <c r="E126" s="51"/>
      <c r="F126" s="57"/>
      <c r="G126" s="58"/>
      <c r="H126" s="71">
        <f t="shared" si="21"/>
        <v>0</v>
      </c>
      <c r="I126" s="57"/>
      <c r="J126" s="58"/>
      <c r="K126" s="71">
        <f t="shared" si="22"/>
        <v>0</v>
      </c>
      <c r="L126" s="57"/>
      <c r="M126" s="58"/>
      <c r="N126" s="71">
        <f t="shared" si="23"/>
        <v>0</v>
      </c>
      <c r="O126" s="57"/>
      <c r="P126" s="58"/>
      <c r="Q126" s="71">
        <f t="shared" si="24"/>
        <v>0</v>
      </c>
      <c r="R126" s="57"/>
      <c r="S126" s="58"/>
      <c r="T126" s="71">
        <f t="shared" si="25"/>
        <v>0</v>
      </c>
      <c r="U126" s="57"/>
      <c r="V126" s="58"/>
      <c r="W126" s="71">
        <f t="shared" si="26"/>
        <v>0</v>
      </c>
      <c r="X126" s="69">
        <f t="shared" si="27"/>
        <v>5</v>
      </c>
    </row>
    <row r="127" spans="5:24" ht="15.75" x14ac:dyDescent="0.25">
      <c r="E127" s="51"/>
      <c r="F127" s="57"/>
      <c r="G127" s="58"/>
      <c r="H127" s="71">
        <f t="shared" si="21"/>
        <v>0</v>
      </c>
      <c r="I127" s="57"/>
      <c r="J127" s="58"/>
      <c r="K127" s="71">
        <f t="shared" si="22"/>
        <v>0</v>
      </c>
      <c r="L127" s="57"/>
      <c r="M127" s="58"/>
      <c r="N127" s="71">
        <f t="shared" si="23"/>
        <v>0</v>
      </c>
      <c r="O127" s="57"/>
      <c r="P127" s="58"/>
      <c r="Q127" s="71">
        <f t="shared" si="24"/>
        <v>0</v>
      </c>
      <c r="R127" s="57"/>
      <c r="S127" s="58"/>
      <c r="T127" s="71">
        <f t="shared" si="25"/>
        <v>0</v>
      </c>
      <c r="U127" s="57"/>
      <c r="V127" s="58"/>
      <c r="W127" s="71">
        <f t="shared" si="26"/>
        <v>0</v>
      </c>
      <c r="X127" s="69">
        <f t="shared" si="27"/>
        <v>5</v>
      </c>
    </row>
    <row r="128" spans="5:24" ht="15.75" x14ac:dyDescent="0.25">
      <c r="E128" s="51"/>
      <c r="F128" s="57"/>
      <c r="G128" s="58"/>
      <c r="H128" s="71">
        <f t="shared" si="21"/>
        <v>0</v>
      </c>
      <c r="I128" s="57"/>
      <c r="J128" s="58"/>
      <c r="K128" s="71">
        <f t="shared" si="22"/>
        <v>0</v>
      </c>
      <c r="L128" s="57"/>
      <c r="M128" s="58"/>
      <c r="N128" s="71">
        <f t="shared" si="23"/>
        <v>0</v>
      </c>
      <c r="O128" s="57"/>
      <c r="P128" s="58"/>
      <c r="Q128" s="71">
        <f t="shared" si="24"/>
        <v>0</v>
      </c>
      <c r="R128" s="57"/>
      <c r="S128" s="58"/>
      <c r="T128" s="71">
        <f t="shared" si="25"/>
        <v>0</v>
      </c>
      <c r="U128" s="57"/>
      <c r="V128" s="58"/>
      <c r="W128" s="71">
        <f t="shared" si="26"/>
        <v>0</v>
      </c>
      <c r="X128" s="69">
        <f t="shared" si="27"/>
        <v>5</v>
      </c>
    </row>
    <row r="129" spans="5:24" ht="15.75" x14ac:dyDescent="0.25">
      <c r="E129" s="51"/>
      <c r="F129" s="57"/>
      <c r="G129" s="58"/>
      <c r="H129" s="71">
        <f t="shared" si="21"/>
        <v>0</v>
      </c>
      <c r="I129" s="57"/>
      <c r="J129" s="58"/>
      <c r="K129" s="71">
        <f t="shared" si="22"/>
        <v>0</v>
      </c>
      <c r="L129" s="57"/>
      <c r="M129" s="58"/>
      <c r="N129" s="71">
        <f t="shared" si="23"/>
        <v>0</v>
      </c>
      <c r="O129" s="57"/>
      <c r="P129" s="58"/>
      <c r="Q129" s="71">
        <f t="shared" si="24"/>
        <v>0</v>
      </c>
      <c r="R129" s="57"/>
      <c r="S129" s="58"/>
      <c r="T129" s="71">
        <f t="shared" si="25"/>
        <v>0</v>
      </c>
      <c r="U129" s="57"/>
      <c r="V129" s="58"/>
      <c r="W129" s="71">
        <f t="shared" si="26"/>
        <v>0</v>
      </c>
      <c r="X129" s="69">
        <f t="shared" si="27"/>
        <v>5</v>
      </c>
    </row>
    <row r="130" spans="5:24" ht="15.75" x14ac:dyDescent="0.25">
      <c r="E130" s="51"/>
      <c r="F130" s="57"/>
      <c r="G130" s="58"/>
      <c r="H130" s="71">
        <f t="shared" si="21"/>
        <v>0</v>
      </c>
      <c r="I130" s="57"/>
      <c r="J130" s="58"/>
      <c r="K130" s="71">
        <f t="shared" si="22"/>
        <v>0</v>
      </c>
      <c r="L130" s="57"/>
      <c r="M130" s="58"/>
      <c r="N130" s="71">
        <f t="shared" si="23"/>
        <v>0</v>
      </c>
      <c r="O130" s="57"/>
      <c r="P130" s="58"/>
      <c r="Q130" s="71">
        <f t="shared" si="24"/>
        <v>0</v>
      </c>
      <c r="R130" s="57"/>
      <c r="S130" s="58"/>
      <c r="T130" s="71">
        <f t="shared" si="25"/>
        <v>0</v>
      </c>
      <c r="U130" s="57"/>
      <c r="V130" s="58"/>
      <c r="W130" s="71">
        <f t="shared" si="26"/>
        <v>0</v>
      </c>
      <c r="X130" s="69">
        <f t="shared" si="27"/>
        <v>5</v>
      </c>
    </row>
    <row r="131" spans="5:24" ht="15.75" x14ac:dyDescent="0.25">
      <c r="E131" s="51"/>
      <c r="F131" s="57"/>
      <c r="G131" s="58"/>
      <c r="H131" s="71">
        <f t="shared" si="21"/>
        <v>0</v>
      </c>
      <c r="I131" s="57"/>
      <c r="J131" s="58"/>
      <c r="K131" s="71">
        <f t="shared" si="22"/>
        <v>0</v>
      </c>
      <c r="L131" s="57"/>
      <c r="M131" s="58"/>
      <c r="N131" s="71">
        <f t="shared" si="23"/>
        <v>0</v>
      </c>
      <c r="O131" s="57"/>
      <c r="P131" s="58"/>
      <c r="Q131" s="71">
        <f t="shared" si="24"/>
        <v>0</v>
      </c>
      <c r="R131" s="57"/>
      <c r="S131" s="58"/>
      <c r="T131" s="71">
        <f t="shared" si="25"/>
        <v>0</v>
      </c>
      <c r="U131" s="57"/>
      <c r="V131" s="58"/>
      <c r="W131" s="71">
        <f t="shared" si="26"/>
        <v>0</v>
      </c>
      <c r="X131" s="69">
        <f t="shared" si="27"/>
        <v>5</v>
      </c>
    </row>
    <row r="132" spans="5:24" ht="15.75" x14ac:dyDescent="0.25">
      <c r="E132" s="51"/>
      <c r="F132" s="57"/>
      <c r="G132" s="58"/>
      <c r="H132" s="71">
        <f t="shared" si="21"/>
        <v>0</v>
      </c>
      <c r="I132" s="57"/>
      <c r="J132" s="58"/>
      <c r="K132" s="71">
        <f t="shared" si="22"/>
        <v>0</v>
      </c>
      <c r="L132" s="57"/>
      <c r="M132" s="58"/>
      <c r="N132" s="71">
        <f t="shared" si="23"/>
        <v>0</v>
      </c>
      <c r="O132" s="57"/>
      <c r="P132" s="58"/>
      <c r="Q132" s="71">
        <f t="shared" si="24"/>
        <v>0</v>
      </c>
      <c r="R132" s="57"/>
      <c r="S132" s="58"/>
      <c r="T132" s="71">
        <f t="shared" si="25"/>
        <v>0</v>
      </c>
      <c r="U132" s="57"/>
      <c r="V132" s="58"/>
      <c r="W132" s="71">
        <f t="shared" si="26"/>
        <v>0</v>
      </c>
      <c r="X132" s="69">
        <f t="shared" si="27"/>
        <v>5</v>
      </c>
    </row>
    <row r="133" spans="5:24" ht="15.75" x14ac:dyDescent="0.25">
      <c r="E133" s="51"/>
      <c r="F133" s="57"/>
      <c r="G133" s="58"/>
      <c r="H133" s="71">
        <f t="shared" si="21"/>
        <v>0</v>
      </c>
      <c r="I133" s="57"/>
      <c r="J133" s="58"/>
      <c r="K133" s="71">
        <f t="shared" si="22"/>
        <v>0</v>
      </c>
      <c r="L133" s="57"/>
      <c r="M133" s="58"/>
      <c r="N133" s="71">
        <f t="shared" si="23"/>
        <v>0</v>
      </c>
      <c r="O133" s="57"/>
      <c r="P133" s="58"/>
      <c r="Q133" s="71">
        <f t="shared" si="24"/>
        <v>0</v>
      </c>
      <c r="R133" s="57"/>
      <c r="S133" s="58"/>
      <c r="T133" s="71">
        <f t="shared" si="25"/>
        <v>0</v>
      </c>
      <c r="U133" s="57"/>
      <c r="V133" s="58"/>
      <c r="W133" s="71">
        <f t="shared" si="26"/>
        <v>0</v>
      </c>
      <c r="X133" s="69">
        <f t="shared" si="27"/>
        <v>5</v>
      </c>
    </row>
    <row r="134" spans="5:24" ht="15.75" x14ac:dyDescent="0.25">
      <c r="E134" s="51"/>
      <c r="F134" s="57"/>
      <c r="G134" s="58"/>
      <c r="H134" s="71">
        <f t="shared" si="21"/>
        <v>0</v>
      </c>
      <c r="I134" s="57"/>
      <c r="J134" s="58"/>
      <c r="K134" s="71">
        <f t="shared" si="22"/>
        <v>0</v>
      </c>
      <c r="L134" s="57"/>
      <c r="M134" s="58"/>
      <c r="N134" s="71">
        <f t="shared" si="23"/>
        <v>0</v>
      </c>
      <c r="O134" s="57"/>
      <c r="P134" s="58"/>
      <c r="Q134" s="71">
        <f t="shared" si="24"/>
        <v>0</v>
      </c>
      <c r="R134" s="57"/>
      <c r="S134" s="58"/>
      <c r="T134" s="71">
        <f t="shared" si="25"/>
        <v>0</v>
      </c>
      <c r="U134" s="57"/>
      <c r="V134" s="58"/>
      <c r="W134" s="71">
        <f t="shared" si="26"/>
        <v>0</v>
      </c>
      <c r="X134" s="69">
        <f t="shared" si="27"/>
        <v>5</v>
      </c>
    </row>
    <row r="135" spans="5:24" ht="15.75" x14ac:dyDescent="0.25">
      <c r="E135" s="51"/>
      <c r="F135" s="57"/>
      <c r="G135" s="58"/>
      <c r="H135" s="71">
        <f t="shared" si="21"/>
        <v>0</v>
      </c>
      <c r="I135" s="57"/>
      <c r="J135" s="58"/>
      <c r="K135" s="71">
        <f t="shared" si="22"/>
        <v>0</v>
      </c>
      <c r="L135" s="57"/>
      <c r="M135" s="58"/>
      <c r="N135" s="71">
        <f t="shared" si="23"/>
        <v>0</v>
      </c>
      <c r="O135" s="57"/>
      <c r="P135" s="58"/>
      <c r="Q135" s="71">
        <f t="shared" si="24"/>
        <v>0</v>
      </c>
      <c r="R135" s="57"/>
      <c r="S135" s="58"/>
      <c r="T135" s="71">
        <f t="shared" si="25"/>
        <v>0</v>
      </c>
      <c r="U135" s="57"/>
      <c r="V135" s="58"/>
      <c r="W135" s="71">
        <f t="shared" si="26"/>
        <v>0</v>
      </c>
      <c r="X135" s="69">
        <f t="shared" si="27"/>
        <v>5</v>
      </c>
    </row>
    <row r="136" spans="5:24" ht="15.75" x14ac:dyDescent="0.25">
      <c r="E136" s="51"/>
      <c r="F136" s="57"/>
      <c r="G136" s="58"/>
      <c r="H136" s="71">
        <f t="shared" si="21"/>
        <v>0</v>
      </c>
      <c r="I136" s="57"/>
      <c r="J136" s="58"/>
      <c r="K136" s="71">
        <f t="shared" si="22"/>
        <v>0</v>
      </c>
      <c r="L136" s="57"/>
      <c r="M136" s="58"/>
      <c r="N136" s="71">
        <f t="shared" si="23"/>
        <v>0</v>
      </c>
      <c r="O136" s="57"/>
      <c r="P136" s="58"/>
      <c r="Q136" s="71">
        <f t="shared" si="24"/>
        <v>0</v>
      </c>
      <c r="R136" s="57"/>
      <c r="S136" s="58"/>
      <c r="T136" s="71">
        <f t="shared" si="25"/>
        <v>0</v>
      </c>
      <c r="U136" s="57"/>
      <c r="V136" s="58"/>
      <c r="W136" s="71">
        <f t="shared" si="26"/>
        <v>0</v>
      </c>
      <c r="X136" s="69">
        <f t="shared" si="27"/>
        <v>5</v>
      </c>
    </row>
    <row r="137" spans="5:24" ht="15.75" x14ac:dyDescent="0.25">
      <c r="E137" s="51"/>
      <c r="F137" s="57"/>
      <c r="G137" s="58"/>
      <c r="H137" s="71">
        <f t="shared" si="21"/>
        <v>0</v>
      </c>
      <c r="I137" s="57"/>
      <c r="J137" s="58"/>
      <c r="K137" s="71">
        <f t="shared" si="22"/>
        <v>0</v>
      </c>
      <c r="L137" s="57"/>
      <c r="M137" s="58"/>
      <c r="N137" s="71">
        <f t="shared" si="23"/>
        <v>0</v>
      </c>
      <c r="O137" s="57"/>
      <c r="P137" s="58"/>
      <c r="Q137" s="71">
        <f t="shared" si="24"/>
        <v>0</v>
      </c>
      <c r="R137" s="57"/>
      <c r="S137" s="58"/>
      <c r="T137" s="71">
        <f t="shared" si="25"/>
        <v>0</v>
      </c>
      <c r="U137" s="57"/>
      <c r="V137" s="58"/>
      <c r="W137" s="71">
        <f t="shared" si="26"/>
        <v>0</v>
      </c>
      <c r="X137" s="69">
        <f t="shared" si="27"/>
        <v>5</v>
      </c>
    </row>
    <row r="138" spans="5:24" ht="15.75" x14ac:dyDescent="0.25">
      <c r="E138" s="51"/>
      <c r="F138" s="57"/>
      <c r="G138" s="58"/>
      <c r="H138" s="71">
        <f t="shared" si="21"/>
        <v>0</v>
      </c>
      <c r="I138" s="57"/>
      <c r="J138" s="58"/>
      <c r="K138" s="71">
        <f t="shared" si="22"/>
        <v>0</v>
      </c>
      <c r="L138" s="57"/>
      <c r="M138" s="58"/>
      <c r="N138" s="71">
        <f t="shared" si="23"/>
        <v>0</v>
      </c>
      <c r="O138" s="57"/>
      <c r="P138" s="58"/>
      <c r="Q138" s="71">
        <f t="shared" si="24"/>
        <v>0</v>
      </c>
      <c r="R138" s="57"/>
      <c r="S138" s="58"/>
      <c r="T138" s="71">
        <f t="shared" si="25"/>
        <v>0</v>
      </c>
      <c r="U138" s="57"/>
      <c r="V138" s="58"/>
      <c r="W138" s="71">
        <f t="shared" si="26"/>
        <v>0</v>
      </c>
      <c r="X138" s="69">
        <f t="shared" si="27"/>
        <v>5</v>
      </c>
    </row>
    <row r="139" spans="5:24" ht="15.75" x14ac:dyDescent="0.25">
      <c r="E139" s="51"/>
      <c r="F139" s="57"/>
      <c r="G139" s="58"/>
      <c r="H139" s="71">
        <f t="shared" si="21"/>
        <v>0</v>
      </c>
      <c r="I139" s="57"/>
      <c r="J139" s="58"/>
      <c r="K139" s="71">
        <f t="shared" si="22"/>
        <v>0</v>
      </c>
      <c r="L139" s="57"/>
      <c r="M139" s="58"/>
      <c r="N139" s="71">
        <f t="shared" si="23"/>
        <v>0</v>
      </c>
      <c r="O139" s="57"/>
      <c r="P139" s="58"/>
      <c r="Q139" s="71">
        <f t="shared" si="24"/>
        <v>0</v>
      </c>
      <c r="R139" s="57"/>
      <c r="S139" s="58"/>
      <c r="T139" s="71">
        <f t="shared" si="25"/>
        <v>0</v>
      </c>
      <c r="U139" s="57"/>
      <c r="V139" s="58"/>
      <c r="W139" s="71">
        <f t="shared" si="26"/>
        <v>0</v>
      </c>
      <c r="X139" s="69">
        <f t="shared" si="27"/>
        <v>5</v>
      </c>
    </row>
    <row r="140" spans="5:24" ht="15.75" x14ac:dyDescent="0.25">
      <c r="E140" s="67" t="s">
        <v>894</v>
      </c>
      <c r="F140" s="76"/>
      <c r="G140" s="75"/>
      <c r="H140" s="72">
        <f>SUM(H90:H139)</f>
        <v>0</v>
      </c>
      <c r="I140" s="76"/>
      <c r="J140" s="75"/>
      <c r="K140" s="72">
        <f>SUM(K90:K139)</f>
        <v>0</v>
      </c>
      <c r="L140" s="76"/>
      <c r="M140" s="75"/>
      <c r="N140" s="72">
        <f>SUM(N90:N139)</f>
        <v>0</v>
      </c>
      <c r="O140" s="76"/>
      <c r="P140" s="75"/>
      <c r="Q140" s="72">
        <f>SUM(Q90:Q139)</f>
        <v>0</v>
      </c>
      <c r="R140" s="76"/>
      <c r="S140" s="75"/>
      <c r="T140" s="72">
        <f>SUM(T90:T139)</f>
        <v>0</v>
      </c>
      <c r="U140" s="76"/>
      <c r="V140" s="75"/>
      <c r="W140" s="72">
        <f>SUM(W90:W139)</f>
        <v>0</v>
      </c>
      <c r="X140" s="69"/>
    </row>
    <row r="142" spans="5:24" ht="15.75" x14ac:dyDescent="0.25">
      <c r="E142" s="74" t="s">
        <v>895</v>
      </c>
      <c r="F142" s="67" t="s">
        <v>886</v>
      </c>
      <c r="G142" s="67" t="s">
        <v>887</v>
      </c>
      <c r="H142" s="67" t="s">
        <v>888</v>
      </c>
      <c r="I142" s="67" t="s">
        <v>886</v>
      </c>
      <c r="J142" s="67" t="s">
        <v>887</v>
      </c>
      <c r="K142" s="67" t="s">
        <v>888</v>
      </c>
      <c r="L142" s="67" t="s">
        <v>886</v>
      </c>
      <c r="M142" s="67" t="s">
        <v>887</v>
      </c>
      <c r="N142" s="67" t="s">
        <v>888</v>
      </c>
      <c r="O142" s="67" t="s">
        <v>886</v>
      </c>
      <c r="P142" s="67" t="s">
        <v>887</v>
      </c>
      <c r="Q142" s="67" t="s">
        <v>888</v>
      </c>
      <c r="R142" s="67" t="s">
        <v>886</v>
      </c>
      <c r="S142" s="67" t="s">
        <v>887</v>
      </c>
      <c r="T142" s="67" t="s">
        <v>888</v>
      </c>
      <c r="U142" s="67" t="s">
        <v>886</v>
      </c>
      <c r="V142" s="67" t="s">
        <v>887</v>
      </c>
      <c r="W142" s="67" t="s">
        <v>888</v>
      </c>
      <c r="X142" s="67" t="s">
        <v>889</v>
      </c>
    </row>
    <row r="143" spans="5:24" ht="15.75" x14ac:dyDescent="0.25">
      <c r="E143" s="51"/>
      <c r="F143" s="57"/>
      <c r="G143" s="58"/>
      <c r="H143" s="71">
        <f t="shared" ref="H143:H149" si="28">F143*G143</f>
        <v>0</v>
      </c>
      <c r="I143" s="57"/>
      <c r="J143" s="58"/>
      <c r="K143" s="71">
        <f t="shared" ref="K143:K149" si="29">I143*J143</f>
        <v>0</v>
      </c>
      <c r="L143" s="57"/>
      <c r="M143" s="58"/>
      <c r="N143" s="71">
        <f t="shared" ref="N143:N149" si="30">L143*M143</f>
        <v>0</v>
      </c>
      <c r="O143" s="57"/>
      <c r="P143" s="58"/>
      <c r="Q143" s="71">
        <f t="shared" ref="Q143:Q149" si="31">O143*P143</f>
        <v>0</v>
      </c>
      <c r="R143" s="57"/>
      <c r="S143" s="58"/>
      <c r="T143" s="71">
        <f t="shared" ref="T143:T149" si="32">R143*S143</f>
        <v>0</v>
      </c>
      <c r="U143" s="57"/>
      <c r="V143" s="58"/>
      <c r="W143" s="71">
        <f t="shared" ref="W143:W149" si="33">U143*V143</f>
        <v>0</v>
      </c>
      <c r="X143" s="69">
        <f>BASES!G37</f>
        <v>5</v>
      </c>
    </row>
    <row r="144" spans="5:24" ht="15.75" x14ac:dyDescent="0.25">
      <c r="E144" s="51"/>
      <c r="F144" s="57"/>
      <c r="G144" s="58"/>
      <c r="H144" s="71">
        <f t="shared" si="28"/>
        <v>0</v>
      </c>
      <c r="I144" s="57"/>
      <c r="J144" s="58"/>
      <c r="K144" s="71">
        <f t="shared" si="29"/>
        <v>0</v>
      </c>
      <c r="L144" s="57"/>
      <c r="M144" s="58"/>
      <c r="N144" s="71">
        <f t="shared" si="30"/>
        <v>0</v>
      </c>
      <c r="O144" s="57"/>
      <c r="P144" s="58"/>
      <c r="Q144" s="71">
        <f t="shared" si="31"/>
        <v>0</v>
      </c>
      <c r="R144" s="57"/>
      <c r="S144" s="58"/>
      <c r="T144" s="71">
        <f t="shared" si="32"/>
        <v>0</v>
      </c>
      <c r="U144" s="57"/>
      <c r="V144" s="58"/>
      <c r="W144" s="71">
        <f t="shared" si="33"/>
        <v>0</v>
      </c>
      <c r="X144" s="69">
        <f t="shared" ref="X144:X149" si="34">X143</f>
        <v>5</v>
      </c>
    </row>
    <row r="145" spans="5:24" ht="15.75" x14ac:dyDescent="0.25">
      <c r="E145" s="51"/>
      <c r="F145" s="57"/>
      <c r="G145" s="58"/>
      <c r="H145" s="71">
        <f t="shared" si="28"/>
        <v>0</v>
      </c>
      <c r="I145" s="57"/>
      <c r="J145" s="58"/>
      <c r="K145" s="71">
        <f t="shared" si="29"/>
        <v>0</v>
      </c>
      <c r="L145" s="57"/>
      <c r="M145" s="58"/>
      <c r="N145" s="71">
        <f t="shared" si="30"/>
        <v>0</v>
      </c>
      <c r="O145" s="57"/>
      <c r="P145" s="58"/>
      <c r="Q145" s="71">
        <f t="shared" si="31"/>
        <v>0</v>
      </c>
      <c r="R145" s="57"/>
      <c r="S145" s="58"/>
      <c r="T145" s="71">
        <f t="shared" si="32"/>
        <v>0</v>
      </c>
      <c r="U145" s="57"/>
      <c r="V145" s="58"/>
      <c r="W145" s="71">
        <f t="shared" si="33"/>
        <v>0</v>
      </c>
      <c r="X145" s="69">
        <f t="shared" si="34"/>
        <v>5</v>
      </c>
    </row>
    <row r="146" spans="5:24" ht="15.75" x14ac:dyDescent="0.25">
      <c r="E146" s="51"/>
      <c r="F146" s="57"/>
      <c r="G146" s="58"/>
      <c r="H146" s="71">
        <f t="shared" si="28"/>
        <v>0</v>
      </c>
      <c r="I146" s="57"/>
      <c r="J146" s="58"/>
      <c r="K146" s="71">
        <f t="shared" si="29"/>
        <v>0</v>
      </c>
      <c r="L146" s="57"/>
      <c r="M146" s="58"/>
      <c r="N146" s="71">
        <f t="shared" si="30"/>
        <v>0</v>
      </c>
      <c r="O146" s="57"/>
      <c r="P146" s="58"/>
      <c r="Q146" s="71">
        <f t="shared" si="31"/>
        <v>0</v>
      </c>
      <c r="R146" s="57"/>
      <c r="S146" s="58"/>
      <c r="T146" s="71">
        <f t="shared" si="32"/>
        <v>0</v>
      </c>
      <c r="U146" s="57"/>
      <c r="V146" s="58"/>
      <c r="W146" s="71">
        <f t="shared" si="33"/>
        <v>0</v>
      </c>
      <c r="X146" s="69">
        <f t="shared" si="34"/>
        <v>5</v>
      </c>
    </row>
    <row r="147" spans="5:24" ht="15.75" x14ac:dyDescent="0.25">
      <c r="E147" s="51"/>
      <c r="F147" s="57"/>
      <c r="G147" s="58"/>
      <c r="H147" s="71">
        <f t="shared" si="28"/>
        <v>0</v>
      </c>
      <c r="I147" s="57"/>
      <c r="J147" s="58"/>
      <c r="K147" s="71">
        <f t="shared" si="29"/>
        <v>0</v>
      </c>
      <c r="L147" s="57"/>
      <c r="M147" s="58"/>
      <c r="N147" s="71">
        <f t="shared" si="30"/>
        <v>0</v>
      </c>
      <c r="O147" s="57"/>
      <c r="P147" s="58"/>
      <c r="Q147" s="71">
        <f t="shared" si="31"/>
        <v>0</v>
      </c>
      <c r="R147" s="57"/>
      <c r="S147" s="58"/>
      <c r="T147" s="71">
        <f t="shared" si="32"/>
        <v>0</v>
      </c>
      <c r="U147" s="57"/>
      <c r="V147" s="58"/>
      <c r="W147" s="71">
        <f t="shared" si="33"/>
        <v>0</v>
      </c>
      <c r="X147" s="69">
        <f t="shared" si="34"/>
        <v>5</v>
      </c>
    </row>
    <row r="148" spans="5:24" ht="15.75" x14ac:dyDescent="0.25">
      <c r="E148" s="51"/>
      <c r="F148" s="57"/>
      <c r="G148" s="58"/>
      <c r="H148" s="71">
        <f t="shared" si="28"/>
        <v>0</v>
      </c>
      <c r="I148" s="57"/>
      <c r="J148" s="58"/>
      <c r="K148" s="71">
        <f t="shared" si="29"/>
        <v>0</v>
      </c>
      <c r="L148" s="57"/>
      <c r="M148" s="58"/>
      <c r="N148" s="71">
        <f t="shared" si="30"/>
        <v>0</v>
      </c>
      <c r="O148" s="57"/>
      <c r="P148" s="58"/>
      <c r="Q148" s="71">
        <f t="shared" si="31"/>
        <v>0</v>
      </c>
      <c r="R148" s="57"/>
      <c r="S148" s="58"/>
      <c r="T148" s="71">
        <f t="shared" si="32"/>
        <v>0</v>
      </c>
      <c r="U148" s="57"/>
      <c r="V148" s="58"/>
      <c r="W148" s="71">
        <f t="shared" si="33"/>
        <v>0</v>
      </c>
      <c r="X148" s="69">
        <f t="shared" si="34"/>
        <v>5</v>
      </c>
    </row>
    <row r="149" spans="5:24" ht="15.75" x14ac:dyDescent="0.25">
      <c r="E149" s="51"/>
      <c r="F149" s="57"/>
      <c r="G149" s="58"/>
      <c r="H149" s="71">
        <f t="shared" si="28"/>
        <v>0</v>
      </c>
      <c r="I149" s="57"/>
      <c r="J149" s="58"/>
      <c r="K149" s="71">
        <f t="shared" si="29"/>
        <v>0</v>
      </c>
      <c r="L149" s="57"/>
      <c r="M149" s="58"/>
      <c r="N149" s="71">
        <f t="shared" si="30"/>
        <v>0</v>
      </c>
      <c r="O149" s="57"/>
      <c r="P149" s="58"/>
      <c r="Q149" s="71">
        <f t="shared" si="31"/>
        <v>0</v>
      </c>
      <c r="R149" s="57"/>
      <c r="S149" s="58"/>
      <c r="T149" s="71">
        <f t="shared" si="32"/>
        <v>0</v>
      </c>
      <c r="U149" s="57"/>
      <c r="V149" s="58"/>
      <c r="W149" s="71">
        <f t="shared" si="33"/>
        <v>0</v>
      </c>
      <c r="X149" s="69">
        <f t="shared" si="34"/>
        <v>5</v>
      </c>
    </row>
    <row r="150" spans="5:24" ht="15.75" x14ac:dyDescent="0.25">
      <c r="E150" s="67" t="s">
        <v>896</v>
      </c>
      <c r="F150" s="76"/>
      <c r="G150" s="75"/>
      <c r="H150" s="72">
        <f>SUM(H143:H149)</f>
        <v>0</v>
      </c>
      <c r="I150" s="76"/>
      <c r="J150" s="75"/>
      <c r="K150" s="72">
        <f>SUM(K143:K149)</f>
        <v>0</v>
      </c>
      <c r="L150" s="76"/>
      <c r="M150" s="75"/>
      <c r="N150" s="72">
        <f>SUM(N143:N149)</f>
        <v>0</v>
      </c>
      <c r="O150" s="76"/>
      <c r="P150" s="75"/>
      <c r="Q150" s="72">
        <f>SUM(Q143:Q149)</f>
        <v>0</v>
      </c>
      <c r="R150" s="76"/>
      <c r="S150" s="75"/>
      <c r="T150" s="72">
        <f>SUM(T143:T149)</f>
        <v>0</v>
      </c>
      <c r="U150" s="76"/>
      <c r="V150" s="75"/>
      <c r="W150" s="72">
        <f>SUM(W143:W149)</f>
        <v>0</v>
      </c>
      <c r="X150" s="69"/>
    </row>
    <row r="152" spans="5:24" ht="15.75" x14ac:dyDescent="0.25">
      <c r="E152" s="68" t="s">
        <v>897</v>
      </c>
      <c r="F152" s="67" t="s">
        <v>886</v>
      </c>
      <c r="G152" s="67" t="s">
        <v>887</v>
      </c>
      <c r="H152" s="67" t="s">
        <v>888</v>
      </c>
      <c r="I152" s="67" t="s">
        <v>886</v>
      </c>
      <c r="J152" s="67" t="s">
        <v>887</v>
      </c>
      <c r="K152" s="67" t="s">
        <v>888</v>
      </c>
      <c r="L152" s="67" t="s">
        <v>886</v>
      </c>
      <c r="M152" s="67" t="s">
        <v>887</v>
      </c>
      <c r="N152" s="67" t="s">
        <v>888</v>
      </c>
      <c r="O152" s="67" t="s">
        <v>886</v>
      </c>
      <c r="P152" s="67" t="s">
        <v>887</v>
      </c>
      <c r="Q152" s="67" t="s">
        <v>888</v>
      </c>
      <c r="R152" s="67" t="s">
        <v>886</v>
      </c>
      <c r="S152" s="67" t="s">
        <v>887</v>
      </c>
      <c r="T152" s="67" t="s">
        <v>888</v>
      </c>
      <c r="U152" s="67" t="s">
        <v>886</v>
      </c>
      <c r="V152" s="67" t="s">
        <v>887</v>
      </c>
      <c r="W152" s="67" t="s">
        <v>888</v>
      </c>
      <c r="X152" s="67" t="s">
        <v>889</v>
      </c>
    </row>
    <row r="153" spans="5:24" ht="15.75" x14ac:dyDescent="0.25">
      <c r="E153" s="51"/>
      <c r="F153" s="57"/>
      <c r="G153" s="58"/>
      <c r="H153" s="71">
        <f t="shared" ref="H153:H177" si="35">F153*G153</f>
        <v>0</v>
      </c>
      <c r="I153" s="57"/>
      <c r="J153" s="58"/>
      <c r="K153" s="71">
        <f t="shared" ref="K153:K177" si="36">I153*J153</f>
        <v>0</v>
      </c>
      <c r="L153" s="57"/>
      <c r="M153" s="58"/>
      <c r="N153" s="71">
        <f t="shared" ref="N153:N177" si="37">L153*M153</f>
        <v>0</v>
      </c>
      <c r="O153" s="57"/>
      <c r="P153" s="58"/>
      <c r="Q153" s="71">
        <f t="shared" ref="Q153:Q177" si="38">O153*P153</f>
        <v>0</v>
      </c>
      <c r="R153" s="57"/>
      <c r="S153" s="58"/>
      <c r="T153" s="71">
        <f t="shared" ref="T153:T177" si="39">R153*S153</f>
        <v>0</v>
      </c>
      <c r="U153" s="57"/>
      <c r="V153" s="58"/>
      <c r="W153" s="71">
        <f t="shared" ref="W153:W177" si="40">U153*V153</f>
        <v>0</v>
      </c>
      <c r="X153" s="69">
        <f>BASES!G38</f>
        <v>3</v>
      </c>
    </row>
    <row r="154" spans="5:24" ht="15.75" x14ac:dyDescent="0.25">
      <c r="E154" s="51"/>
      <c r="F154" s="57"/>
      <c r="G154" s="58"/>
      <c r="H154" s="71">
        <f t="shared" si="35"/>
        <v>0</v>
      </c>
      <c r="I154" s="57"/>
      <c r="J154" s="58"/>
      <c r="K154" s="71">
        <f t="shared" si="36"/>
        <v>0</v>
      </c>
      <c r="L154" s="57"/>
      <c r="M154" s="58"/>
      <c r="N154" s="71">
        <f t="shared" si="37"/>
        <v>0</v>
      </c>
      <c r="O154" s="57"/>
      <c r="P154" s="58"/>
      <c r="Q154" s="71">
        <f t="shared" si="38"/>
        <v>0</v>
      </c>
      <c r="R154" s="57"/>
      <c r="S154" s="58"/>
      <c r="T154" s="71">
        <f t="shared" si="39"/>
        <v>0</v>
      </c>
      <c r="U154" s="57"/>
      <c r="V154" s="58"/>
      <c r="W154" s="71">
        <f t="shared" si="40"/>
        <v>0</v>
      </c>
      <c r="X154" s="69">
        <f t="shared" ref="X154:X177" si="41">X153</f>
        <v>3</v>
      </c>
    </row>
    <row r="155" spans="5:24" ht="15.75" x14ac:dyDescent="0.25">
      <c r="E155" s="51"/>
      <c r="F155" s="57"/>
      <c r="G155" s="58"/>
      <c r="H155" s="71">
        <f t="shared" si="35"/>
        <v>0</v>
      </c>
      <c r="I155" s="57"/>
      <c r="J155" s="58"/>
      <c r="K155" s="71">
        <f t="shared" si="36"/>
        <v>0</v>
      </c>
      <c r="L155" s="57"/>
      <c r="M155" s="58"/>
      <c r="N155" s="71">
        <f t="shared" si="37"/>
        <v>0</v>
      </c>
      <c r="O155" s="57"/>
      <c r="P155" s="58"/>
      <c r="Q155" s="71">
        <f t="shared" si="38"/>
        <v>0</v>
      </c>
      <c r="R155" s="57"/>
      <c r="S155" s="58"/>
      <c r="T155" s="71">
        <f t="shared" si="39"/>
        <v>0</v>
      </c>
      <c r="U155" s="57"/>
      <c r="V155" s="58"/>
      <c r="W155" s="71">
        <f t="shared" si="40"/>
        <v>0</v>
      </c>
      <c r="X155" s="69">
        <f t="shared" si="41"/>
        <v>3</v>
      </c>
    </row>
    <row r="156" spans="5:24" ht="15.75" x14ac:dyDescent="0.25">
      <c r="E156" s="51"/>
      <c r="F156" s="57"/>
      <c r="G156" s="58"/>
      <c r="H156" s="71">
        <f t="shared" si="35"/>
        <v>0</v>
      </c>
      <c r="I156" s="57"/>
      <c r="J156" s="58"/>
      <c r="K156" s="71">
        <f t="shared" si="36"/>
        <v>0</v>
      </c>
      <c r="L156" s="57"/>
      <c r="M156" s="58"/>
      <c r="N156" s="71">
        <f t="shared" si="37"/>
        <v>0</v>
      </c>
      <c r="O156" s="57"/>
      <c r="P156" s="58"/>
      <c r="Q156" s="71">
        <f t="shared" si="38"/>
        <v>0</v>
      </c>
      <c r="R156" s="57"/>
      <c r="S156" s="58"/>
      <c r="T156" s="71">
        <f t="shared" si="39"/>
        <v>0</v>
      </c>
      <c r="U156" s="57"/>
      <c r="V156" s="58"/>
      <c r="W156" s="71">
        <f t="shared" si="40"/>
        <v>0</v>
      </c>
      <c r="X156" s="69">
        <f t="shared" si="41"/>
        <v>3</v>
      </c>
    </row>
    <row r="157" spans="5:24" ht="15.75" x14ac:dyDescent="0.25">
      <c r="E157" s="51"/>
      <c r="F157" s="57"/>
      <c r="G157" s="58"/>
      <c r="H157" s="71">
        <f t="shared" si="35"/>
        <v>0</v>
      </c>
      <c r="I157" s="57"/>
      <c r="J157" s="58"/>
      <c r="K157" s="71">
        <f t="shared" si="36"/>
        <v>0</v>
      </c>
      <c r="L157" s="57"/>
      <c r="M157" s="58"/>
      <c r="N157" s="71">
        <f t="shared" si="37"/>
        <v>0</v>
      </c>
      <c r="O157" s="57"/>
      <c r="P157" s="58"/>
      <c r="Q157" s="71">
        <f t="shared" si="38"/>
        <v>0</v>
      </c>
      <c r="R157" s="57"/>
      <c r="S157" s="58"/>
      <c r="T157" s="71">
        <f t="shared" si="39"/>
        <v>0</v>
      </c>
      <c r="U157" s="57"/>
      <c r="V157" s="58"/>
      <c r="W157" s="71">
        <f t="shared" si="40"/>
        <v>0</v>
      </c>
      <c r="X157" s="69">
        <f t="shared" si="41"/>
        <v>3</v>
      </c>
    </row>
    <row r="158" spans="5:24" ht="15.75" x14ac:dyDescent="0.25">
      <c r="E158" s="51"/>
      <c r="F158" s="57"/>
      <c r="G158" s="58"/>
      <c r="H158" s="71">
        <f t="shared" si="35"/>
        <v>0</v>
      </c>
      <c r="I158" s="57"/>
      <c r="J158" s="58"/>
      <c r="K158" s="71">
        <f t="shared" si="36"/>
        <v>0</v>
      </c>
      <c r="L158" s="57"/>
      <c r="M158" s="58"/>
      <c r="N158" s="71">
        <f t="shared" si="37"/>
        <v>0</v>
      </c>
      <c r="O158" s="57"/>
      <c r="P158" s="58"/>
      <c r="Q158" s="71">
        <f t="shared" si="38"/>
        <v>0</v>
      </c>
      <c r="R158" s="57"/>
      <c r="S158" s="58"/>
      <c r="T158" s="71">
        <f t="shared" si="39"/>
        <v>0</v>
      </c>
      <c r="U158" s="57"/>
      <c r="V158" s="58"/>
      <c r="W158" s="71">
        <f t="shared" si="40"/>
        <v>0</v>
      </c>
      <c r="X158" s="69">
        <f t="shared" si="41"/>
        <v>3</v>
      </c>
    </row>
    <row r="159" spans="5:24" ht="15.75" x14ac:dyDescent="0.25">
      <c r="E159" s="51"/>
      <c r="F159" s="57"/>
      <c r="G159" s="58"/>
      <c r="H159" s="71">
        <f t="shared" si="35"/>
        <v>0</v>
      </c>
      <c r="I159" s="57"/>
      <c r="J159" s="58"/>
      <c r="K159" s="71">
        <f t="shared" si="36"/>
        <v>0</v>
      </c>
      <c r="L159" s="57"/>
      <c r="M159" s="58"/>
      <c r="N159" s="71">
        <f t="shared" si="37"/>
        <v>0</v>
      </c>
      <c r="O159" s="57"/>
      <c r="P159" s="58"/>
      <c r="Q159" s="71">
        <f t="shared" si="38"/>
        <v>0</v>
      </c>
      <c r="R159" s="57"/>
      <c r="S159" s="58"/>
      <c r="T159" s="71">
        <f t="shared" si="39"/>
        <v>0</v>
      </c>
      <c r="U159" s="57"/>
      <c r="V159" s="58"/>
      <c r="W159" s="71">
        <f t="shared" si="40"/>
        <v>0</v>
      </c>
      <c r="X159" s="69">
        <f t="shared" si="41"/>
        <v>3</v>
      </c>
    </row>
    <row r="160" spans="5:24" ht="15.75" x14ac:dyDescent="0.25">
      <c r="E160" s="51"/>
      <c r="F160" s="57"/>
      <c r="G160" s="58"/>
      <c r="H160" s="71">
        <f t="shared" si="35"/>
        <v>0</v>
      </c>
      <c r="I160" s="57"/>
      <c r="J160" s="58"/>
      <c r="K160" s="71">
        <f t="shared" si="36"/>
        <v>0</v>
      </c>
      <c r="L160" s="57"/>
      <c r="M160" s="58"/>
      <c r="N160" s="71">
        <f t="shared" si="37"/>
        <v>0</v>
      </c>
      <c r="O160" s="57"/>
      <c r="P160" s="58"/>
      <c r="Q160" s="71">
        <f t="shared" si="38"/>
        <v>0</v>
      </c>
      <c r="R160" s="57"/>
      <c r="S160" s="58"/>
      <c r="T160" s="71">
        <f t="shared" si="39"/>
        <v>0</v>
      </c>
      <c r="U160" s="57"/>
      <c r="V160" s="58"/>
      <c r="W160" s="71">
        <f t="shared" si="40"/>
        <v>0</v>
      </c>
      <c r="X160" s="69">
        <f t="shared" si="41"/>
        <v>3</v>
      </c>
    </row>
    <row r="161" spans="5:24" ht="15.75" x14ac:dyDescent="0.25">
      <c r="E161" s="51"/>
      <c r="F161" s="57"/>
      <c r="G161" s="58"/>
      <c r="H161" s="71">
        <f t="shared" si="35"/>
        <v>0</v>
      </c>
      <c r="I161" s="57"/>
      <c r="J161" s="58"/>
      <c r="K161" s="71">
        <f t="shared" si="36"/>
        <v>0</v>
      </c>
      <c r="L161" s="57"/>
      <c r="M161" s="58"/>
      <c r="N161" s="71">
        <f t="shared" si="37"/>
        <v>0</v>
      </c>
      <c r="O161" s="57"/>
      <c r="P161" s="58"/>
      <c r="Q161" s="71">
        <f t="shared" si="38"/>
        <v>0</v>
      </c>
      <c r="R161" s="57"/>
      <c r="S161" s="58"/>
      <c r="T161" s="71">
        <f t="shared" si="39"/>
        <v>0</v>
      </c>
      <c r="U161" s="57"/>
      <c r="V161" s="58"/>
      <c r="W161" s="71">
        <f t="shared" si="40"/>
        <v>0</v>
      </c>
      <c r="X161" s="69">
        <f t="shared" si="41"/>
        <v>3</v>
      </c>
    </row>
    <row r="162" spans="5:24" ht="15.75" x14ac:dyDescent="0.25">
      <c r="E162" s="51"/>
      <c r="F162" s="57"/>
      <c r="G162" s="58"/>
      <c r="H162" s="71">
        <f t="shared" si="35"/>
        <v>0</v>
      </c>
      <c r="I162" s="57"/>
      <c r="J162" s="58"/>
      <c r="K162" s="71">
        <f t="shared" si="36"/>
        <v>0</v>
      </c>
      <c r="L162" s="57"/>
      <c r="M162" s="58"/>
      <c r="N162" s="71">
        <f t="shared" si="37"/>
        <v>0</v>
      </c>
      <c r="O162" s="57"/>
      <c r="P162" s="58"/>
      <c r="Q162" s="71">
        <f t="shared" si="38"/>
        <v>0</v>
      </c>
      <c r="R162" s="57"/>
      <c r="S162" s="58"/>
      <c r="T162" s="71">
        <f t="shared" si="39"/>
        <v>0</v>
      </c>
      <c r="U162" s="57"/>
      <c r="V162" s="58"/>
      <c r="W162" s="71">
        <f t="shared" si="40"/>
        <v>0</v>
      </c>
      <c r="X162" s="69">
        <f t="shared" si="41"/>
        <v>3</v>
      </c>
    </row>
    <row r="163" spans="5:24" ht="15.75" x14ac:dyDescent="0.25">
      <c r="E163" s="51"/>
      <c r="F163" s="57"/>
      <c r="G163" s="58"/>
      <c r="H163" s="71">
        <f t="shared" si="35"/>
        <v>0</v>
      </c>
      <c r="I163" s="57"/>
      <c r="J163" s="58"/>
      <c r="K163" s="71">
        <f t="shared" si="36"/>
        <v>0</v>
      </c>
      <c r="L163" s="57"/>
      <c r="M163" s="58"/>
      <c r="N163" s="71">
        <f t="shared" si="37"/>
        <v>0</v>
      </c>
      <c r="O163" s="57"/>
      <c r="P163" s="58"/>
      <c r="Q163" s="71">
        <f t="shared" si="38"/>
        <v>0</v>
      </c>
      <c r="R163" s="57"/>
      <c r="S163" s="58"/>
      <c r="T163" s="71">
        <f t="shared" si="39"/>
        <v>0</v>
      </c>
      <c r="U163" s="57"/>
      <c r="V163" s="58"/>
      <c r="W163" s="71">
        <f t="shared" si="40"/>
        <v>0</v>
      </c>
      <c r="X163" s="69">
        <f t="shared" si="41"/>
        <v>3</v>
      </c>
    </row>
    <row r="164" spans="5:24" ht="15.75" x14ac:dyDescent="0.25">
      <c r="E164" s="51"/>
      <c r="F164" s="57"/>
      <c r="G164" s="58"/>
      <c r="H164" s="71">
        <f t="shared" si="35"/>
        <v>0</v>
      </c>
      <c r="I164" s="57"/>
      <c r="J164" s="58"/>
      <c r="K164" s="71">
        <f t="shared" si="36"/>
        <v>0</v>
      </c>
      <c r="L164" s="57"/>
      <c r="M164" s="58"/>
      <c r="N164" s="71">
        <f t="shared" si="37"/>
        <v>0</v>
      </c>
      <c r="O164" s="57"/>
      <c r="P164" s="58"/>
      <c r="Q164" s="71">
        <f t="shared" si="38"/>
        <v>0</v>
      </c>
      <c r="R164" s="57"/>
      <c r="S164" s="58"/>
      <c r="T164" s="71">
        <f t="shared" si="39"/>
        <v>0</v>
      </c>
      <c r="U164" s="57"/>
      <c r="V164" s="58"/>
      <c r="W164" s="71">
        <f t="shared" si="40"/>
        <v>0</v>
      </c>
      <c r="X164" s="69">
        <f t="shared" si="41"/>
        <v>3</v>
      </c>
    </row>
    <row r="165" spans="5:24" ht="15.75" x14ac:dyDescent="0.25">
      <c r="E165" s="51"/>
      <c r="F165" s="57"/>
      <c r="G165" s="58"/>
      <c r="H165" s="71">
        <f t="shared" si="35"/>
        <v>0</v>
      </c>
      <c r="I165" s="57"/>
      <c r="J165" s="58"/>
      <c r="K165" s="71">
        <f t="shared" si="36"/>
        <v>0</v>
      </c>
      <c r="L165" s="57"/>
      <c r="M165" s="58"/>
      <c r="N165" s="71">
        <f t="shared" si="37"/>
        <v>0</v>
      </c>
      <c r="O165" s="57"/>
      <c r="P165" s="58"/>
      <c r="Q165" s="71">
        <f t="shared" si="38"/>
        <v>0</v>
      </c>
      <c r="R165" s="57"/>
      <c r="S165" s="58"/>
      <c r="T165" s="71">
        <f t="shared" si="39"/>
        <v>0</v>
      </c>
      <c r="U165" s="57"/>
      <c r="V165" s="58"/>
      <c r="W165" s="71">
        <f t="shared" si="40"/>
        <v>0</v>
      </c>
      <c r="X165" s="69">
        <f t="shared" si="41"/>
        <v>3</v>
      </c>
    </row>
    <row r="166" spans="5:24" ht="15.75" x14ac:dyDescent="0.25">
      <c r="E166" s="51"/>
      <c r="F166" s="57"/>
      <c r="G166" s="58"/>
      <c r="H166" s="71">
        <f t="shared" si="35"/>
        <v>0</v>
      </c>
      <c r="I166" s="57"/>
      <c r="J166" s="58"/>
      <c r="K166" s="71">
        <f t="shared" si="36"/>
        <v>0</v>
      </c>
      <c r="L166" s="57"/>
      <c r="M166" s="58"/>
      <c r="N166" s="71">
        <f t="shared" si="37"/>
        <v>0</v>
      </c>
      <c r="O166" s="57"/>
      <c r="P166" s="58"/>
      <c r="Q166" s="71">
        <f t="shared" si="38"/>
        <v>0</v>
      </c>
      <c r="R166" s="57"/>
      <c r="S166" s="58"/>
      <c r="T166" s="71">
        <f t="shared" si="39"/>
        <v>0</v>
      </c>
      <c r="U166" s="57"/>
      <c r="V166" s="58"/>
      <c r="W166" s="71">
        <f t="shared" si="40"/>
        <v>0</v>
      </c>
      <c r="X166" s="69">
        <f t="shared" si="41"/>
        <v>3</v>
      </c>
    </row>
    <row r="167" spans="5:24" ht="15.75" x14ac:dyDescent="0.25">
      <c r="E167" s="51"/>
      <c r="F167" s="57"/>
      <c r="G167" s="58"/>
      <c r="H167" s="71">
        <f t="shared" si="35"/>
        <v>0</v>
      </c>
      <c r="I167" s="57"/>
      <c r="J167" s="58"/>
      <c r="K167" s="71">
        <f t="shared" si="36"/>
        <v>0</v>
      </c>
      <c r="L167" s="57"/>
      <c r="M167" s="58"/>
      <c r="N167" s="71">
        <f t="shared" si="37"/>
        <v>0</v>
      </c>
      <c r="O167" s="57"/>
      <c r="P167" s="58"/>
      <c r="Q167" s="71">
        <f t="shared" si="38"/>
        <v>0</v>
      </c>
      <c r="R167" s="57"/>
      <c r="S167" s="58"/>
      <c r="T167" s="71">
        <f t="shared" si="39"/>
        <v>0</v>
      </c>
      <c r="U167" s="57"/>
      <c r="V167" s="58"/>
      <c r="W167" s="71">
        <f t="shared" si="40"/>
        <v>0</v>
      </c>
      <c r="X167" s="69">
        <f t="shared" si="41"/>
        <v>3</v>
      </c>
    </row>
    <row r="168" spans="5:24" ht="15.75" x14ac:dyDescent="0.25">
      <c r="E168" s="51"/>
      <c r="F168" s="57"/>
      <c r="G168" s="58"/>
      <c r="H168" s="71">
        <f t="shared" si="35"/>
        <v>0</v>
      </c>
      <c r="I168" s="57"/>
      <c r="J168" s="58"/>
      <c r="K168" s="71">
        <f t="shared" si="36"/>
        <v>0</v>
      </c>
      <c r="L168" s="57"/>
      <c r="M168" s="58"/>
      <c r="N168" s="71">
        <f t="shared" si="37"/>
        <v>0</v>
      </c>
      <c r="O168" s="57"/>
      <c r="P168" s="58"/>
      <c r="Q168" s="71">
        <f t="shared" si="38"/>
        <v>0</v>
      </c>
      <c r="R168" s="57"/>
      <c r="S168" s="58"/>
      <c r="T168" s="71">
        <f t="shared" si="39"/>
        <v>0</v>
      </c>
      <c r="U168" s="57"/>
      <c r="V168" s="58"/>
      <c r="W168" s="71">
        <f t="shared" si="40"/>
        <v>0</v>
      </c>
      <c r="X168" s="69">
        <f t="shared" si="41"/>
        <v>3</v>
      </c>
    </row>
    <row r="169" spans="5:24" ht="15.75" x14ac:dyDescent="0.25">
      <c r="E169" s="51"/>
      <c r="F169" s="57"/>
      <c r="G169" s="58"/>
      <c r="H169" s="71">
        <f t="shared" si="35"/>
        <v>0</v>
      </c>
      <c r="I169" s="57"/>
      <c r="J169" s="58"/>
      <c r="K169" s="71">
        <f t="shared" si="36"/>
        <v>0</v>
      </c>
      <c r="L169" s="57"/>
      <c r="M169" s="58"/>
      <c r="N169" s="71">
        <f t="shared" si="37"/>
        <v>0</v>
      </c>
      <c r="O169" s="57"/>
      <c r="P169" s="58"/>
      <c r="Q169" s="71">
        <f t="shared" si="38"/>
        <v>0</v>
      </c>
      <c r="R169" s="57"/>
      <c r="S169" s="58"/>
      <c r="T169" s="71">
        <f t="shared" si="39"/>
        <v>0</v>
      </c>
      <c r="U169" s="57"/>
      <c r="V169" s="58"/>
      <c r="W169" s="71">
        <f t="shared" si="40"/>
        <v>0</v>
      </c>
      <c r="X169" s="69">
        <f t="shared" si="41"/>
        <v>3</v>
      </c>
    </row>
    <row r="170" spans="5:24" ht="15.75" x14ac:dyDescent="0.25">
      <c r="E170" s="51"/>
      <c r="F170" s="57"/>
      <c r="G170" s="58"/>
      <c r="H170" s="71">
        <f t="shared" si="35"/>
        <v>0</v>
      </c>
      <c r="I170" s="57"/>
      <c r="J170" s="58"/>
      <c r="K170" s="71">
        <f t="shared" si="36"/>
        <v>0</v>
      </c>
      <c r="L170" s="57"/>
      <c r="M170" s="58"/>
      <c r="N170" s="71">
        <f t="shared" si="37"/>
        <v>0</v>
      </c>
      <c r="O170" s="57"/>
      <c r="P170" s="58"/>
      <c r="Q170" s="71">
        <f t="shared" si="38"/>
        <v>0</v>
      </c>
      <c r="R170" s="57"/>
      <c r="S170" s="58"/>
      <c r="T170" s="71">
        <f t="shared" si="39"/>
        <v>0</v>
      </c>
      <c r="U170" s="57"/>
      <c r="V170" s="58"/>
      <c r="W170" s="71">
        <f t="shared" si="40"/>
        <v>0</v>
      </c>
      <c r="X170" s="69">
        <f t="shared" si="41"/>
        <v>3</v>
      </c>
    </row>
    <row r="171" spans="5:24" ht="15.75" x14ac:dyDescent="0.25">
      <c r="E171" s="51"/>
      <c r="F171" s="57"/>
      <c r="G171" s="58"/>
      <c r="H171" s="71">
        <f t="shared" si="35"/>
        <v>0</v>
      </c>
      <c r="I171" s="57"/>
      <c r="J171" s="58"/>
      <c r="K171" s="71">
        <f t="shared" si="36"/>
        <v>0</v>
      </c>
      <c r="L171" s="57"/>
      <c r="M171" s="58"/>
      <c r="N171" s="71">
        <f t="shared" si="37"/>
        <v>0</v>
      </c>
      <c r="O171" s="57"/>
      <c r="P171" s="58"/>
      <c r="Q171" s="71">
        <f t="shared" si="38"/>
        <v>0</v>
      </c>
      <c r="R171" s="57"/>
      <c r="S171" s="58"/>
      <c r="T171" s="71">
        <f t="shared" si="39"/>
        <v>0</v>
      </c>
      <c r="U171" s="57"/>
      <c r="V171" s="58"/>
      <c r="W171" s="71">
        <f t="shared" si="40"/>
        <v>0</v>
      </c>
      <c r="X171" s="69">
        <f t="shared" si="41"/>
        <v>3</v>
      </c>
    </row>
    <row r="172" spans="5:24" ht="15.75" x14ac:dyDescent="0.25">
      <c r="E172" s="51"/>
      <c r="F172" s="57"/>
      <c r="G172" s="58"/>
      <c r="H172" s="71">
        <f t="shared" si="35"/>
        <v>0</v>
      </c>
      <c r="I172" s="57"/>
      <c r="J172" s="58"/>
      <c r="K172" s="71">
        <f t="shared" si="36"/>
        <v>0</v>
      </c>
      <c r="L172" s="57"/>
      <c r="M172" s="58"/>
      <c r="N172" s="71">
        <f t="shared" si="37"/>
        <v>0</v>
      </c>
      <c r="O172" s="57"/>
      <c r="P172" s="58"/>
      <c r="Q172" s="71">
        <f t="shared" si="38"/>
        <v>0</v>
      </c>
      <c r="R172" s="57"/>
      <c r="S172" s="58"/>
      <c r="T172" s="71">
        <f t="shared" si="39"/>
        <v>0</v>
      </c>
      <c r="U172" s="57"/>
      <c r="V172" s="58"/>
      <c r="W172" s="71">
        <f t="shared" si="40"/>
        <v>0</v>
      </c>
      <c r="X172" s="69">
        <f t="shared" si="41"/>
        <v>3</v>
      </c>
    </row>
    <row r="173" spans="5:24" ht="15.75" x14ac:dyDescent="0.25">
      <c r="E173" s="51"/>
      <c r="F173" s="57"/>
      <c r="G173" s="58"/>
      <c r="H173" s="71">
        <f t="shared" si="35"/>
        <v>0</v>
      </c>
      <c r="I173" s="57"/>
      <c r="J173" s="58"/>
      <c r="K173" s="71">
        <f t="shared" si="36"/>
        <v>0</v>
      </c>
      <c r="L173" s="57"/>
      <c r="M173" s="58"/>
      <c r="N173" s="71">
        <f t="shared" si="37"/>
        <v>0</v>
      </c>
      <c r="O173" s="57"/>
      <c r="P173" s="58"/>
      <c r="Q173" s="71">
        <f t="shared" si="38"/>
        <v>0</v>
      </c>
      <c r="R173" s="57"/>
      <c r="S173" s="58"/>
      <c r="T173" s="71">
        <f t="shared" si="39"/>
        <v>0</v>
      </c>
      <c r="U173" s="57"/>
      <c r="V173" s="58"/>
      <c r="W173" s="71">
        <f t="shared" si="40"/>
        <v>0</v>
      </c>
      <c r="X173" s="69">
        <f t="shared" si="41"/>
        <v>3</v>
      </c>
    </row>
    <row r="174" spans="5:24" ht="15.75" x14ac:dyDescent="0.25">
      <c r="E174" s="51"/>
      <c r="F174" s="57"/>
      <c r="G174" s="58"/>
      <c r="H174" s="71">
        <f t="shared" si="35"/>
        <v>0</v>
      </c>
      <c r="I174" s="57"/>
      <c r="J174" s="58"/>
      <c r="K174" s="71">
        <f t="shared" si="36"/>
        <v>0</v>
      </c>
      <c r="L174" s="57"/>
      <c r="M174" s="58"/>
      <c r="N174" s="71">
        <f t="shared" si="37"/>
        <v>0</v>
      </c>
      <c r="O174" s="57"/>
      <c r="P174" s="58"/>
      <c r="Q174" s="71">
        <f t="shared" si="38"/>
        <v>0</v>
      </c>
      <c r="R174" s="57"/>
      <c r="S174" s="58"/>
      <c r="T174" s="71">
        <f t="shared" si="39"/>
        <v>0</v>
      </c>
      <c r="U174" s="57"/>
      <c r="V174" s="58"/>
      <c r="W174" s="71">
        <f t="shared" si="40"/>
        <v>0</v>
      </c>
      <c r="X174" s="69">
        <f t="shared" si="41"/>
        <v>3</v>
      </c>
    </row>
    <row r="175" spans="5:24" ht="15.75" x14ac:dyDescent="0.25">
      <c r="E175" s="51"/>
      <c r="F175" s="57"/>
      <c r="G175" s="58"/>
      <c r="H175" s="71">
        <f t="shared" si="35"/>
        <v>0</v>
      </c>
      <c r="I175" s="57"/>
      <c r="J175" s="58"/>
      <c r="K175" s="71">
        <f t="shared" si="36"/>
        <v>0</v>
      </c>
      <c r="L175" s="57"/>
      <c r="M175" s="58"/>
      <c r="N175" s="71">
        <f t="shared" si="37"/>
        <v>0</v>
      </c>
      <c r="O175" s="57"/>
      <c r="P175" s="58"/>
      <c r="Q175" s="71">
        <f t="shared" si="38"/>
        <v>0</v>
      </c>
      <c r="R175" s="57"/>
      <c r="S175" s="58"/>
      <c r="T175" s="71">
        <f t="shared" si="39"/>
        <v>0</v>
      </c>
      <c r="U175" s="57"/>
      <c r="V175" s="58"/>
      <c r="W175" s="71">
        <f t="shared" si="40"/>
        <v>0</v>
      </c>
      <c r="X175" s="69">
        <f t="shared" si="41"/>
        <v>3</v>
      </c>
    </row>
    <row r="176" spans="5:24" ht="15.75" x14ac:dyDescent="0.25">
      <c r="E176" s="51"/>
      <c r="F176" s="57"/>
      <c r="G176" s="58"/>
      <c r="H176" s="71">
        <f t="shared" si="35"/>
        <v>0</v>
      </c>
      <c r="I176" s="57"/>
      <c r="J176" s="58"/>
      <c r="K176" s="71">
        <f t="shared" si="36"/>
        <v>0</v>
      </c>
      <c r="L176" s="57"/>
      <c r="M176" s="58"/>
      <c r="N176" s="71">
        <f t="shared" si="37"/>
        <v>0</v>
      </c>
      <c r="O176" s="57"/>
      <c r="P176" s="58"/>
      <c r="Q176" s="71">
        <f t="shared" si="38"/>
        <v>0</v>
      </c>
      <c r="R176" s="57"/>
      <c r="S176" s="58"/>
      <c r="T176" s="71">
        <f t="shared" si="39"/>
        <v>0</v>
      </c>
      <c r="U176" s="57"/>
      <c r="V176" s="58"/>
      <c r="W176" s="71">
        <f t="shared" si="40"/>
        <v>0</v>
      </c>
      <c r="X176" s="69">
        <f t="shared" si="41"/>
        <v>3</v>
      </c>
    </row>
    <row r="177" spans="4:24" ht="15.75" x14ac:dyDescent="0.25">
      <c r="E177" s="51"/>
      <c r="F177" s="57"/>
      <c r="G177" s="58"/>
      <c r="H177" s="71">
        <f t="shared" si="35"/>
        <v>0</v>
      </c>
      <c r="I177" s="57"/>
      <c r="J177" s="58"/>
      <c r="K177" s="71">
        <f t="shared" si="36"/>
        <v>0</v>
      </c>
      <c r="L177" s="57"/>
      <c r="M177" s="58"/>
      <c r="N177" s="71">
        <f t="shared" si="37"/>
        <v>0</v>
      </c>
      <c r="O177" s="57"/>
      <c r="P177" s="58"/>
      <c r="Q177" s="71">
        <f t="shared" si="38"/>
        <v>0</v>
      </c>
      <c r="R177" s="57"/>
      <c r="S177" s="58"/>
      <c r="T177" s="71">
        <f t="shared" si="39"/>
        <v>0</v>
      </c>
      <c r="U177" s="57"/>
      <c r="V177" s="58"/>
      <c r="W177" s="71">
        <f t="shared" si="40"/>
        <v>0</v>
      </c>
      <c r="X177" s="69">
        <f t="shared" si="41"/>
        <v>3</v>
      </c>
    </row>
    <row r="178" spans="4:24" ht="15.75" x14ac:dyDescent="0.25">
      <c r="E178" s="67" t="s">
        <v>898</v>
      </c>
      <c r="F178" s="76"/>
      <c r="G178" s="75"/>
      <c r="H178" s="72">
        <f>SUM(H153:H177)</f>
        <v>0</v>
      </c>
      <c r="I178" s="76"/>
      <c r="J178" s="75"/>
      <c r="K178" s="72">
        <f>SUM(K153:K177)</f>
        <v>0</v>
      </c>
      <c r="L178" s="76"/>
      <c r="M178" s="75"/>
      <c r="N178" s="72">
        <f>SUM(N153:N177)</f>
        <v>0</v>
      </c>
      <c r="O178" s="76"/>
      <c r="P178" s="75"/>
      <c r="Q178" s="72">
        <f>SUM(Q153:Q177)</f>
        <v>0</v>
      </c>
      <c r="R178" s="76"/>
      <c r="S178" s="75"/>
      <c r="T178" s="72">
        <f>SUM(T153:T177)</f>
        <v>0</v>
      </c>
      <c r="U178" s="76"/>
      <c r="V178" s="75"/>
      <c r="W178" s="72">
        <f>SUM(W153:W177)</f>
        <v>0</v>
      </c>
      <c r="X178" s="69"/>
    </row>
    <row r="179" spans="4:24" x14ac:dyDescent="0.25">
      <c r="U179" s="77"/>
    </row>
    <row r="180" spans="4:24" ht="15.75" x14ac:dyDescent="0.25">
      <c r="E180" s="649" t="s">
        <v>899</v>
      </c>
      <c r="F180" s="650"/>
      <c r="G180" s="651"/>
      <c r="H180" s="84">
        <f>H44+H87+H140+H150+H178</f>
        <v>0</v>
      </c>
      <c r="I180" s="84"/>
      <c r="J180" s="84"/>
      <c r="K180" s="84">
        <f>K44+K87+K140+K150+K178</f>
        <v>0</v>
      </c>
      <c r="L180" s="84"/>
      <c r="M180" s="84"/>
      <c r="N180" s="84">
        <f>N44+N87+N140+N150+N178</f>
        <v>0</v>
      </c>
      <c r="O180" s="84"/>
      <c r="P180" s="84"/>
      <c r="Q180" s="84">
        <f>Q44+Q87+Q140+Q150+Q178</f>
        <v>0</v>
      </c>
      <c r="R180" s="84"/>
      <c r="S180" s="84"/>
      <c r="T180" s="84">
        <f>T44+T87+T140+T150+T178</f>
        <v>0</v>
      </c>
      <c r="U180" s="84"/>
      <c r="V180" s="84"/>
      <c r="W180" s="84">
        <f>W44+W87+W140+W150+W178</f>
        <v>0</v>
      </c>
    </row>
    <row r="182" spans="4:24" ht="15.75" thickBot="1" x14ac:dyDescent="0.3"/>
    <row r="183" spans="4:24" ht="15" customHeight="1" x14ac:dyDescent="0.25">
      <c r="D183" s="655" t="s">
        <v>900</v>
      </c>
      <c r="E183" s="656"/>
      <c r="F183" s="656"/>
      <c r="G183" s="657"/>
    </row>
    <row r="184" spans="4:24" ht="15" customHeight="1" x14ac:dyDescent="0.25">
      <c r="D184" s="658"/>
      <c r="E184" s="659"/>
      <c r="F184" s="659"/>
      <c r="G184" s="660"/>
    </row>
    <row r="185" spans="4:24" ht="15" customHeight="1" x14ac:dyDescent="0.25">
      <c r="D185" s="658"/>
      <c r="E185" s="659"/>
      <c r="F185" s="659"/>
      <c r="G185" s="660"/>
    </row>
    <row r="186" spans="4:24" ht="15" customHeight="1" x14ac:dyDescent="0.25">
      <c r="D186" s="658"/>
      <c r="E186" s="659"/>
      <c r="F186" s="659"/>
      <c r="G186" s="660"/>
    </row>
    <row r="187" spans="4:24" ht="15" customHeight="1" thickBot="1" x14ac:dyDescent="0.3">
      <c r="D187" s="661"/>
      <c r="E187" s="662"/>
      <c r="F187" s="662"/>
      <c r="G187" s="663"/>
    </row>
    <row r="188" spans="4:24" ht="15" customHeight="1" x14ac:dyDescent="0.25">
      <c r="D188"/>
      <c r="E188"/>
      <c r="F188"/>
      <c r="G188"/>
    </row>
    <row r="190" spans="4:24" ht="15.75" x14ac:dyDescent="0.25">
      <c r="E190" s="671" t="s">
        <v>901</v>
      </c>
      <c r="F190" s="652" t="s">
        <v>27</v>
      </c>
      <c r="G190" s="652"/>
      <c r="H190" s="652"/>
      <c r="I190" s="652" t="s">
        <v>28</v>
      </c>
      <c r="J190" s="652"/>
      <c r="K190" s="652"/>
      <c r="L190" s="652" t="s">
        <v>29</v>
      </c>
      <c r="M190" s="652"/>
      <c r="N190" s="652"/>
      <c r="O190" s="652" t="s">
        <v>30</v>
      </c>
      <c r="P190" s="652"/>
      <c r="Q190" s="652"/>
      <c r="R190" s="652" t="s">
        <v>31</v>
      </c>
      <c r="S190" s="652"/>
      <c r="T190" s="652"/>
      <c r="U190" s="652" t="s">
        <v>32</v>
      </c>
      <c r="V190" s="652"/>
      <c r="W190" s="652"/>
      <c r="X190" s="9"/>
    </row>
    <row r="191" spans="4:24" ht="15.75" x14ac:dyDescent="0.25">
      <c r="E191" s="671"/>
      <c r="F191" s="78" t="s">
        <v>886</v>
      </c>
      <c r="G191" s="67" t="s">
        <v>887</v>
      </c>
      <c r="H191" s="67" t="s">
        <v>888</v>
      </c>
      <c r="I191" s="67" t="s">
        <v>886</v>
      </c>
      <c r="J191" s="67" t="s">
        <v>887</v>
      </c>
      <c r="K191" s="67" t="s">
        <v>888</v>
      </c>
      <c r="L191" s="67" t="s">
        <v>886</v>
      </c>
      <c r="M191" s="67" t="s">
        <v>887</v>
      </c>
      <c r="N191" s="67" t="s">
        <v>888</v>
      </c>
      <c r="O191" s="67" t="s">
        <v>886</v>
      </c>
      <c r="P191" s="67" t="s">
        <v>887</v>
      </c>
      <c r="Q191" s="67" t="s">
        <v>888</v>
      </c>
      <c r="R191" s="67" t="s">
        <v>886</v>
      </c>
      <c r="S191" s="67" t="s">
        <v>887</v>
      </c>
      <c r="T191" s="67" t="s">
        <v>888</v>
      </c>
      <c r="U191" s="67" t="s">
        <v>886</v>
      </c>
      <c r="V191" s="67" t="s">
        <v>887</v>
      </c>
      <c r="W191" s="67" t="s">
        <v>888</v>
      </c>
      <c r="X191" s="67" t="s">
        <v>902</v>
      </c>
    </row>
    <row r="192" spans="4:24" ht="15.75" x14ac:dyDescent="0.25">
      <c r="E192" s="68" t="s">
        <v>903</v>
      </c>
      <c r="F192" s="57"/>
      <c r="G192" s="58"/>
      <c r="H192" s="71">
        <f>F192*G192</f>
        <v>0</v>
      </c>
      <c r="I192" s="57"/>
      <c r="J192" s="58"/>
      <c r="K192" s="71">
        <f>I192*J192</f>
        <v>0</v>
      </c>
      <c r="L192" s="57"/>
      <c r="M192" s="58"/>
      <c r="N192" s="71">
        <f>L192*M192</f>
        <v>0</v>
      </c>
      <c r="O192" s="57"/>
      <c r="P192" s="58"/>
      <c r="Q192" s="71">
        <f>O192*P192</f>
        <v>0</v>
      </c>
      <c r="R192" s="57"/>
      <c r="S192" s="58"/>
      <c r="T192" s="71">
        <f>R192*S192</f>
        <v>0</v>
      </c>
      <c r="U192" s="57"/>
      <c r="V192" s="58"/>
      <c r="W192" s="71">
        <f>U192*V192</f>
        <v>0</v>
      </c>
      <c r="X192" s="69">
        <f>BASES!G39</f>
        <v>1</v>
      </c>
    </row>
    <row r="193" spans="5:24" ht="15.75" x14ac:dyDescent="0.25">
      <c r="E193" s="51"/>
      <c r="F193" s="57"/>
      <c r="G193" s="58"/>
      <c r="H193" s="71">
        <f t="shared" ref="H193:H207" si="42">F193*G193</f>
        <v>0</v>
      </c>
      <c r="I193" s="57"/>
      <c r="J193" s="58"/>
      <c r="K193" s="71">
        <f t="shared" ref="K193:K207" si="43">I193*J193</f>
        <v>0</v>
      </c>
      <c r="L193" s="57"/>
      <c r="M193" s="58"/>
      <c r="N193" s="71">
        <f t="shared" ref="N193:N207" si="44">L193*M193</f>
        <v>0</v>
      </c>
      <c r="O193" s="57"/>
      <c r="P193" s="58"/>
      <c r="Q193" s="71">
        <f t="shared" ref="Q193:Q207" si="45">O193*P193</f>
        <v>0</v>
      </c>
      <c r="R193" s="57"/>
      <c r="S193" s="58"/>
      <c r="T193" s="71">
        <f t="shared" ref="T193:T207" si="46">R193*S193</f>
        <v>0</v>
      </c>
      <c r="U193" s="57"/>
      <c r="V193" s="58"/>
      <c r="W193" s="71">
        <f t="shared" ref="W193:W207" si="47">U193*V193</f>
        <v>0</v>
      </c>
      <c r="X193" s="69">
        <f>X192</f>
        <v>1</v>
      </c>
    </row>
    <row r="194" spans="5:24" ht="15.75" x14ac:dyDescent="0.25">
      <c r="E194" s="51"/>
      <c r="F194" s="57"/>
      <c r="G194" s="58"/>
      <c r="H194" s="71">
        <f t="shared" si="42"/>
        <v>0</v>
      </c>
      <c r="I194" s="57"/>
      <c r="J194" s="58"/>
      <c r="K194" s="71">
        <f t="shared" si="43"/>
        <v>0</v>
      </c>
      <c r="L194" s="57"/>
      <c r="M194" s="58"/>
      <c r="N194" s="71">
        <f t="shared" si="44"/>
        <v>0</v>
      </c>
      <c r="O194" s="57"/>
      <c r="P194" s="58"/>
      <c r="Q194" s="71">
        <f t="shared" si="45"/>
        <v>0</v>
      </c>
      <c r="R194" s="57"/>
      <c r="S194" s="58"/>
      <c r="T194" s="71">
        <f t="shared" si="46"/>
        <v>0</v>
      </c>
      <c r="U194" s="57"/>
      <c r="V194" s="58"/>
      <c r="W194" s="71">
        <f t="shared" si="47"/>
        <v>0</v>
      </c>
      <c r="X194" s="69">
        <f t="shared" ref="X194:X207" si="48">X193</f>
        <v>1</v>
      </c>
    </row>
    <row r="195" spans="5:24" ht="15.75" x14ac:dyDescent="0.25">
      <c r="E195" s="51"/>
      <c r="F195" s="57"/>
      <c r="G195" s="58"/>
      <c r="H195" s="71">
        <f t="shared" si="42"/>
        <v>0</v>
      </c>
      <c r="I195" s="57"/>
      <c r="J195" s="58"/>
      <c r="K195" s="71">
        <f t="shared" si="43"/>
        <v>0</v>
      </c>
      <c r="L195" s="57"/>
      <c r="M195" s="58"/>
      <c r="N195" s="71">
        <f t="shared" si="44"/>
        <v>0</v>
      </c>
      <c r="O195" s="57"/>
      <c r="P195" s="58"/>
      <c r="Q195" s="71">
        <f t="shared" si="45"/>
        <v>0</v>
      </c>
      <c r="R195" s="57"/>
      <c r="S195" s="58"/>
      <c r="T195" s="71">
        <f t="shared" si="46"/>
        <v>0</v>
      </c>
      <c r="U195" s="57"/>
      <c r="V195" s="58"/>
      <c r="W195" s="71">
        <f t="shared" si="47"/>
        <v>0</v>
      </c>
      <c r="X195" s="69">
        <f t="shared" si="48"/>
        <v>1</v>
      </c>
    </row>
    <row r="196" spans="5:24" ht="15.75" x14ac:dyDescent="0.25">
      <c r="E196" s="51"/>
      <c r="F196" s="57"/>
      <c r="G196" s="58"/>
      <c r="H196" s="71">
        <f t="shared" si="42"/>
        <v>0</v>
      </c>
      <c r="I196" s="57"/>
      <c r="J196" s="58"/>
      <c r="K196" s="71">
        <f t="shared" si="43"/>
        <v>0</v>
      </c>
      <c r="L196" s="57"/>
      <c r="M196" s="58"/>
      <c r="N196" s="71">
        <f t="shared" si="44"/>
        <v>0</v>
      </c>
      <c r="O196" s="57"/>
      <c r="P196" s="58"/>
      <c r="Q196" s="71">
        <f t="shared" si="45"/>
        <v>0</v>
      </c>
      <c r="R196" s="57"/>
      <c r="S196" s="58"/>
      <c r="T196" s="71">
        <f t="shared" si="46"/>
        <v>0</v>
      </c>
      <c r="U196" s="57"/>
      <c r="V196" s="58"/>
      <c r="W196" s="71">
        <f t="shared" si="47"/>
        <v>0</v>
      </c>
      <c r="X196" s="69">
        <f t="shared" si="48"/>
        <v>1</v>
      </c>
    </row>
    <row r="197" spans="5:24" ht="15.75" x14ac:dyDescent="0.25">
      <c r="E197" s="51"/>
      <c r="F197" s="57"/>
      <c r="G197" s="58"/>
      <c r="H197" s="71">
        <f t="shared" si="42"/>
        <v>0</v>
      </c>
      <c r="I197" s="57"/>
      <c r="J197" s="58"/>
      <c r="K197" s="71">
        <f t="shared" si="43"/>
        <v>0</v>
      </c>
      <c r="L197" s="57"/>
      <c r="M197" s="58"/>
      <c r="N197" s="71">
        <f t="shared" si="44"/>
        <v>0</v>
      </c>
      <c r="O197" s="57"/>
      <c r="P197" s="58"/>
      <c r="Q197" s="71">
        <f t="shared" si="45"/>
        <v>0</v>
      </c>
      <c r="R197" s="57"/>
      <c r="S197" s="58"/>
      <c r="T197" s="71">
        <f t="shared" si="46"/>
        <v>0</v>
      </c>
      <c r="U197" s="57"/>
      <c r="V197" s="58"/>
      <c r="W197" s="71">
        <f t="shared" si="47"/>
        <v>0</v>
      </c>
      <c r="X197" s="69">
        <f t="shared" si="48"/>
        <v>1</v>
      </c>
    </row>
    <row r="198" spans="5:24" ht="15.75" x14ac:dyDescent="0.25">
      <c r="E198" s="51"/>
      <c r="F198" s="57"/>
      <c r="G198" s="58"/>
      <c r="H198" s="71">
        <f t="shared" si="42"/>
        <v>0</v>
      </c>
      <c r="I198" s="57"/>
      <c r="J198" s="58"/>
      <c r="K198" s="71">
        <f t="shared" si="43"/>
        <v>0</v>
      </c>
      <c r="L198" s="57"/>
      <c r="M198" s="58"/>
      <c r="N198" s="71">
        <f t="shared" si="44"/>
        <v>0</v>
      </c>
      <c r="O198" s="57"/>
      <c r="P198" s="58"/>
      <c r="Q198" s="71">
        <f t="shared" si="45"/>
        <v>0</v>
      </c>
      <c r="R198" s="57"/>
      <c r="S198" s="58"/>
      <c r="T198" s="71">
        <f t="shared" si="46"/>
        <v>0</v>
      </c>
      <c r="U198" s="57"/>
      <c r="V198" s="58"/>
      <c r="W198" s="71">
        <f t="shared" si="47"/>
        <v>0</v>
      </c>
      <c r="X198" s="69">
        <f t="shared" si="48"/>
        <v>1</v>
      </c>
    </row>
    <row r="199" spans="5:24" ht="15.75" x14ac:dyDescent="0.25">
      <c r="E199" s="51"/>
      <c r="F199" s="57"/>
      <c r="G199" s="58"/>
      <c r="H199" s="71">
        <f t="shared" si="42"/>
        <v>0</v>
      </c>
      <c r="I199" s="57"/>
      <c r="J199" s="58"/>
      <c r="K199" s="71">
        <f t="shared" si="43"/>
        <v>0</v>
      </c>
      <c r="L199" s="57"/>
      <c r="M199" s="58"/>
      <c r="N199" s="71">
        <f t="shared" si="44"/>
        <v>0</v>
      </c>
      <c r="O199" s="57"/>
      <c r="P199" s="58"/>
      <c r="Q199" s="71">
        <f t="shared" si="45"/>
        <v>0</v>
      </c>
      <c r="R199" s="57"/>
      <c r="S199" s="58"/>
      <c r="T199" s="71">
        <f t="shared" si="46"/>
        <v>0</v>
      </c>
      <c r="U199" s="57"/>
      <c r="V199" s="58"/>
      <c r="W199" s="71">
        <f t="shared" si="47"/>
        <v>0</v>
      </c>
      <c r="X199" s="69">
        <f t="shared" si="48"/>
        <v>1</v>
      </c>
    </row>
    <row r="200" spans="5:24" ht="15.75" x14ac:dyDescent="0.25">
      <c r="E200" s="51"/>
      <c r="F200" s="57"/>
      <c r="G200" s="58"/>
      <c r="H200" s="71">
        <f t="shared" si="42"/>
        <v>0</v>
      </c>
      <c r="I200" s="57"/>
      <c r="J200" s="58"/>
      <c r="K200" s="71">
        <f t="shared" si="43"/>
        <v>0</v>
      </c>
      <c r="L200" s="57"/>
      <c r="M200" s="58"/>
      <c r="N200" s="71">
        <f t="shared" si="44"/>
        <v>0</v>
      </c>
      <c r="O200" s="57"/>
      <c r="P200" s="58"/>
      <c r="Q200" s="71">
        <f t="shared" si="45"/>
        <v>0</v>
      </c>
      <c r="R200" s="57"/>
      <c r="S200" s="58"/>
      <c r="T200" s="71">
        <f t="shared" si="46"/>
        <v>0</v>
      </c>
      <c r="U200" s="57"/>
      <c r="V200" s="58"/>
      <c r="W200" s="71">
        <f t="shared" si="47"/>
        <v>0</v>
      </c>
      <c r="X200" s="69">
        <f t="shared" si="48"/>
        <v>1</v>
      </c>
    </row>
    <row r="201" spans="5:24" ht="15.75" x14ac:dyDescent="0.25">
      <c r="E201" s="51"/>
      <c r="F201" s="57"/>
      <c r="G201" s="58"/>
      <c r="H201" s="71">
        <f t="shared" si="42"/>
        <v>0</v>
      </c>
      <c r="I201" s="57"/>
      <c r="J201" s="58"/>
      <c r="K201" s="71">
        <f t="shared" si="43"/>
        <v>0</v>
      </c>
      <c r="L201" s="57"/>
      <c r="M201" s="58"/>
      <c r="N201" s="71">
        <f t="shared" si="44"/>
        <v>0</v>
      </c>
      <c r="O201" s="57"/>
      <c r="P201" s="58"/>
      <c r="Q201" s="71">
        <f t="shared" si="45"/>
        <v>0</v>
      </c>
      <c r="R201" s="57"/>
      <c r="S201" s="58"/>
      <c r="T201" s="71">
        <f t="shared" si="46"/>
        <v>0</v>
      </c>
      <c r="U201" s="57"/>
      <c r="V201" s="58"/>
      <c r="W201" s="71">
        <f t="shared" si="47"/>
        <v>0</v>
      </c>
      <c r="X201" s="69">
        <f t="shared" si="48"/>
        <v>1</v>
      </c>
    </row>
    <row r="202" spans="5:24" ht="15.75" x14ac:dyDescent="0.25">
      <c r="E202" s="51"/>
      <c r="F202" s="57"/>
      <c r="G202" s="58"/>
      <c r="H202" s="71">
        <f t="shared" si="42"/>
        <v>0</v>
      </c>
      <c r="I202" s="57"/>
      <c r="J202" s="58"/>
      <c r="K202" s="71">
        <f t="shared" si="43"/>
        <v>0</v>
      </c>
      <c r="L202" s="57"/>
      <c r="M202" s="58"/>
      <c r="N202" s="71">
        <f t="shared" si="44"/>
        <v>0</v>
      </c>
      <c r="O202" s="57"/>
      <c r="P202" s="58"/>
      <c r="Q202" s="71">
        <f t="shared" si="45"/>
        <v>0</v>
      </c>
      <c r="R202" s="57"/>
      <c r="S202" s="58"/>
      <c r="T202" s="71">
        <f t="shared" si="46"/>
        <v>0</v>
      </c>
      <c r="U202" s="57"/>
      <c r="V202" s="58"/>
      <c r="W202" s="71">
        <f t="shared" si="47"/>
        <v>0</v>
      </c>
      <c r="X202" s="69">
        <f t="shared" si="48"/>
        <v>1</v>
      </c>
    </row>
    <row r="203" spans="5:24" ht="15.75" x14ac:dyDescent="0.25">
      <c r="E203" s="51"/>
      <c r="F203" s="57"/>
      <c r="G203" s="58"/>
      <c r="H203" s="71">
        <f t="shared" si="42"/>
        <v>0</v>
      </c>
      <c r="I203" s="57"/>
      <c r="J203" s="58"/>
      <c r="K203" s="71">
        <f t="shared" si="43"/>
        <v>0</v>
      </c>
      <c r="L203" s="57"/>
      <c r="M203" s="58"/>
      <c r="N203" s="71">
        <f t="shared" si="44"/>
        <v>0</v>
      </c>
      <c r="O203" s="57"/>
      <c r="P203" s="58"/>
      <c r="Q203" s="71">
        <f t="shared" si="45"/>
        <v>0</v>
      </c>
      <c r="R203" s="57"/>
      <c r="S203" s="58"/>
      <c r="T203" s="71">
        <f t="shared" si="46"/>
        <v>0</v>
      </c>
      <c r="U203" s="57"/>
      <c r="V203" s="58"/>
      <c r="W203" s="71">
        <f t="shared" si="47"/>
        <v>0</v>
      </c>
      <c r="X203" s="69">
        <f t="shared" si="48"/>
        <v>1</v>
      </c>
    </row>
    <row r="204" spans="5:24" ht="15.75" x14ac:dyDescent="0.25">
      <c r="E204" s="51"/>
      <c r="F204" s="57"/>
      <c r="G204" s="58"/>
      <c r="H204" s="71">
        <f t="shared" si="42"/>
        <v>0</v>
      </c>
      <c r="I204" s="57"/>
      <c r="J204" s="58"/>
      <c r="K204" s="71">
        <f t="shared" si="43"/>
        <v>0</v>
      </c>
      <c r="L204" s="57"/>
      <c r="M204" s="58"/>
      <c r="N204" s="71">
        <f t="shared" si="44"/>
        <v>0</v>
      </c>
      <c r="O204" s="57"/>
      <c r="P204" s="58"/>
      <c r="Q204" s="71">
        <f t="shared" si="45"/>
        <v>0</v>
      </c>
      <c r="R204" s="57"/>
      <c r="S204" s="58"/>
      <c r="T204" s="71">
        <f t="shared" si="46"/>
        <v>0</v>
      </c>
      <c r="U204" s="57"/>
      <c r="V204" s="58"/>
      <c r="W204" s="71">
        <f t="shared" si="47"/>
        <v>0</v>
      </c>
      <c r="X204" s="69">
        <f t="shared" si="48"/>
        <v>1</v>
      </c>
    </row>
    <row r="205" spans="5:24" ht="15.75" x14ac:dyDescent="0.25">
      <c r="E205" s="51"/>
      <c r="F205" s="57"/>
      <c r="G205" s="58"/>
      <c r="H205" s="71">
        <f t="shared" si="42"/>
        <v>0</v>
      </c>
      <c r="I205" s="57"/>
      <c r="J205" s="58"/>
      <c r="K205" s="71">
        <f t="shared" si="43"/>
        <v>0</v>
      </c>
      <c r="L205" s="57"/>
      <c r="M205" s="58"/>
      <c r="N205" s="71">
        <f t="shared" si="44"/>
        <v>0</v>
      </c>
      <c r="O205" s="57"/>
      <c r="P205" s="58"/>
      <c r="Q205" s="71">
        <f t="shared" si="45"/>
        <v>0</v>
      </c>
      <c r="R205" s="57"/>
      <c r="S205" s="58"/>
      <c r="T205" s="71">
        <f t="shared" si="46"/>
        <v>0</v>
      </c>
      <c r="U205" s="57"/>
      <c r="V205" s="58"/>
      <c r="W205" s="71">
        <f t="shared" si="47"/>
        <v>0</v>
      </c>
      <c r="X205" s="69">
        <f t="shared" si="48"/>
        <v>1</v>
      </c>
    </row>
    <row r="206" spans="5:24" ht="15.75" x14ac:dyDescent="0.25">
      <c r="E206" s="51"/>
      <c r="F206" s="57"/>
      <c r="G206" s="58"/>
      <c r="H206" s="71">
        <f t="shared" si="42"/>
        <v>0</v>
      </c>
      <c r="I206" s="57"/>
      <c r="J206" s="58"/>
      <c r="K206" s="71">
        <f t="shared" si="43"/>
        <v>0</v>
      </c>
      <c r="L206" s="57"/>
      <c r="M206" s="58"/>
      <c r="N206" s="71">
        <f t="shared" si="44"/>
        <v>0</v>
      </c>
      <c r="O206" s="57"/>
      <c r="P206" s="58"/>
      <c r="Q206" s="71">
        <f t="shared" si="45"/>
        <v>0</v>
      </c>
      <c r="R206" s="57"/>
      <c r="S206" s="58"/>
      <c r="T206" s="71">
        <f t="shared" si="46"/>
        <v>0</v>
      </c>
      <c r="U206" s="57"/>
      <c r="V206" s="58"/>
      <c r="W206" s="71">
        <f t="shared" si="47"/>
        <v>0</v>
      </c>
      <c r="X206" s="69">
        <f t="shared" si="48"/>
        <v>1</v>
      </c>
    </row>
    <row r="207" spans="5:24" ht="15.75" x14ac:dyDescent="0.25">
      <c r="E207" s="51"/>
      <c r="F207" s="57"/>
      <c r="G207" s="58"/>
      <c r="H207" s="71">
        <f t="shared" si="42"/>
        <v>0</v>
      </c>
      <c r="I207" s="57"/>
      <c r="J207" s="58"/>
      <c r="K207" s="71">
        <f t="shared" si="43"/>
        <v>0</v>
      </c>
      <c r="L207" s="57"/>
      <c r="M207" s="58"/>
      <c r="N207" s="71">
        <f t="shared" si="44"/>
        <v>0</v>
      </c>
      <c r="O207" s="57"/>
      <c r="P207" s="58"/>
      <c r="Q207" s="71">
        <f t="shared" si="45"/>
        <v>0</v>
      </c>
      <c r="R207" s="57"/>
      <c r="S207" s="58"/>
      <c r="T207" s="71">
        <f t="shared" si="46"/>
        <v>0</v>
      </c>
      <c r="U207" s="57"/>
      <c r="V207" s="58"/>
      <c r="W207" s="71">
        <f t="shared" si="47"/>
        <v>0</v>
      </c>
      <c r="X207" s="69">
        <f t="shared" si="48"/>
        <v>1</v>
      </c>
    </row>
    <row r="208" spans="5:24" ht="15.75" x14ac:dyDescent="0.25">
      <c r="E208" s="67" t="s">
        <v>904</v>
      </c>
      <c r="F208" s="76"/>
      <c r="G208" s="75"/>
      <c r="H208" s="72">
        <f>SUM(H192:H207)</f>
        <v>0</v>
      </c>
      <c r="I208" s="76"/>
      <c r="J208" s="75"/>
      <c r="K208" s="72">
        <f>SUM(K192:K206)</f>
        <v>0</v>
      </c>
      <c r="L208" s="76"/>
      <c r="M208" s="75"/>
      <c r="N208" s="72">
        <f>SUM(N192:N207)</f>
        <v>0</v>
      </c>
      <c r="O208" s="76"/>
      <c r="P208" s="75"/>
      <c r="Q208" s="72">
        <f>SUM(Q192:Q207)</f>
        <v>0</v>
      </c>
      <c r="R208" s="76"/>
      <c r="S208" s="75"/>
      <c r="T208" s="72">
        <f>SUM(T192:T207)</f>
        <v>0</v>
      </c>
      <c r="U208" s="76"/>
      <c r="V208" s="75"/>
      <c r="W208" s="72">
        <f>SUM(W192:W207)</f>
        <v>0</v>
      </c>
      <c r="X208" s="79"/>
    </row>
    <row r="210" spans="5:24" ht="15.75" x14ac:dyDescent="0.25">
      <c r="E210" s="74" t="s">
        <v>905</v>
      </c>
      <c r="F210" s="78" t="s">
        <v>886</v>
      </c>
      <c r="G210" s="67" t="s">
        <v>887</v>
      </c>
      <c r="H210" s="67" t="s">
        <v>888</v>
      </c>
      <c r="I210" s="78" t="s">
        <v>886</v>
      </c>
      <c r="J210" s="67" t="s">
        <v>887</v>
      </c>
      <c r="K210" s="67" t="s">
        <v>888</v>
      </c>
      <c r="L210" s="78" t="s">
        <v>886</v>
      </c>
      <c r="M210" s="67" t="s">
        <v>887</v>
      </c>
      <c r="N210" s="67" t="s">
        <v>888</v>
      </c>
      <c r="O210" s="78" t="s">
        <v>886</v>
      </c>
      <c r="P210" s="67" t="s">
        <v>887</v>
      </c>
      <c r="Q210" s="67" t="s">
        <v>888</v>
      </c>
      <c r="R210" s="78" t="s">
        <v>886</v>
      </c>
      <c r="S210" s="67" t="s">
        <v>887</v>
      </c>
      <c r="T210" s="67" t="s">
        <v>888</v>
      </c>
      <c r="U210" s="78" t="s">
        <v>886</v>
      </c>
      <c r="V210" s="67" t="s">
        <v>887</v>
      </c>
      <c r="W210" s="67" t="s">
        <v>888</v>
      </c>
      <c r="X210" s="67" t="s">
        <v>889</v>
      </c>
    </row>
    <row r="211" spans="5:24" ht="15.75" x14ac:dyDescent="0.25">
      <c r="E211" s="51"/>
      <c r="F211" s="57"/>
      <c r="G211" s="58"/>
      <c r="H211" s="71">
        <f>F211*G211</f>
        <v>0</v>
      </c>
      <c r="I211" s="57"/>
      <c r="J211" s="58"/>
      <c r="K211" s="71">
        <f>I211*J211</f>
        <v>0</v>
      </c>
      <c r="L211" s="57"/>
      <c r="M211" s="58"/>
      <c r="N211" s="71">
        <f>L211*M211</f>
        <v>0</v>
      </c>
      <c r="O211" s="57"/>
      <c r="P211" s="58"/>
      <c r="Q211" s="71">
        <f>O211*P211</f>
        <v>0</v>
      </c>
      <c r="R211" s="57"/>
      <c r="S211" s="58"/>
      <c r="T211" s="71">
        <f>R211*S211</f>
        <v>0</v>
      </c>
      <c r="U211" s="57"/>
      <c r="V211" s="58"/>
      <c r="W211" s="71">
        <f>U211*V211</f>
        <v>0</v>
      </c>
      <c r="X211" s="69">
        <f>BASES!G40</f>
        <v>10</v>
      </c>
    </row>
    <row r="212" spans="5:24" ht="15.75" x14ac:dyDescent="0.25">
      <c r="E212" s="51"/>
      <c r="F212" s="57"/>
      <c r="G212" s="58"/>
      <c r="H212" s="71">
        <f t="shared" ref="H212:H226" si="49">F212*G212</f>
        <v>0</v>
      </c>
      <c r="I212" s="57"/>
      <c r="J212" s="58"/>
      <c r="K212" s="71">
        <f t="shared" ref="K212:K226" si="50">I212*J212</f>
        <v>0</v>
      </c>
      <c r="L212" s="57"/>
      <c r="M212" s="58"/>
      <c r="N212" s="71">
        <f t="shared" ref="N212:N226" si="51">L212*M212</f>
        <v>0</v>
      </c>
      <c r="O212" s="57"/>
      <c r="P212" s="58"/>
      <c r="Q212" s="71">
        <f t="shared" ref="Q212:Q226" si="52">O212*P212</f>
        <v>0</v>
      </c>
      <c r="R212" s="57"/>
      <c r="S212" s="58"/>
      <c r="T212" s="71">
        <f t="shared" ref="T212:T226" si="53">R212*S212</f>
        <v>0</v>
      </c>
      <c r="U212" s="57"/>
      <c r="V212" s="58"/>
      <c r="W212" s="71">
        <f t="shared" ref="W212:W226" si="54">U212*V212</f>
        <v>0</v>
      </c>
      <c r="X212" s="69">
        <f>X211</f>
        <v>10</v>
      </c>
    </row>
    <row r="213" spans="5:24" ht="15.75" x14ac:dyDescent="0.25">
      <c r="E213" s="51"/>
      <c r="F213" s="57"/>
      <c r="G213" s="58"/>
      <c r="H213" s="71">
        <f t="shared" si="49"/>
        <v>0</v>
      </c>
      <c r="I213" s="57"/>
      <c r="J213" s="58"/>
      <c r="K213" s="71">
        <f t="shared" si="50"/>
        <v>0</v>
      </c>
      <c r="L213" s="57"/>
      <c r="M213" s="58"/>
      <c r="N213" s="71">
        <f t="shared" si="51"/>
        <v>0</v>
      </c>
      <c r="O213" s="57"/>
      <c r="P213" s="58"/>
      <c r="Q213" s="71">
        <f t="shared" si="52"/>
        <v>0</v>
      </c>
      <c r="R213" s="57"/>
      <c r="S213" s="58"/>
      <c r="T213" s="71">
        <f t="shared" si="53"/>
        <v>0</v>
      </c>
      <c r="U213" s="57"/>
      <c r="V213" s="58"/>
      <c r="W213" s="71">
        <f t="shared" si="54"/>
        <v>0</v>
      </c>
      <c r="X213" s="69">
        <f t="shared" ref="X213:X226" si="55">X212</f>
        <v>10</v>
      </c>
    </row>
    <row r="214" spans="5:24" ht="15.75" x14ac:dyDescent="0.25">
      <c r="E214" s="51"/>
      <c r="F214" s="57"/>
      <c r="G214" s="58"/>
      <c r="H214" s="71">
        <f t="shared" si="49"/>
        <v>0</v>
      </c>
      <c r="I214" s="57"/>
      <c r="J214" s="58"/>
      <c r="K214" s="71">
        <f t="shared" si="50"/>
        <v>0</v>
      </c>
      <c r="L214" s="57"/>
      <c r="M214" s="58"/>
      <c r="N214" s="71">
        <f t="shared" si="51"/>
        <v>0</v>
      </c>
      <c r="O214" s="57"/>
      <c r="P214" s="58"/>
      <c r="Q214" s="71">
        <f t="shared" si="52"/>
        <v>0</v>
      </c>
      <c r="R214" s="57"/>
      <c r="S214" s="58"/>
      <c r="T214" s="71">
        <f t="shared" si="53"/>
        <v>0</v>
      </c>
      <c r="U214" s="57"/>
      <c r="V214" s="58"/>
      <c r="W214" s="71">
        <f t="shared" si="54"/>
        <v>0</v>
      </c>
      <c r="X214" s="69">
        <f t="shared" si="55"/>
        <v>10</v>
      </c>
    </row>
    <row r="215" spans="5:24" ht="15.75" x14ac:dyDescent="0.25">
      <c r="E215" s="51"/>
      <c r="F215" s="57"/>
      <c r="G215" s="58"/>
      <c r="H215" s="71">
        <f t="shared" si="49"/>
        <v>0</v>
      </c>
      <c r="I215" s="57"/>
      <c r="J215" s="58"/>
      <c r="K215" s="71">
        <f t="shared" si="50"/>
        <v>0</v>
      </c>
      <c r="L215" s="57"/>
      <c r="M215" s="58"/>
      <c r="N215" s="71">
        <f t="shared" si="51"/>
        <v>0</v>
      </c>
      <c r="O215" s="57"/>
      <c r="P215" s="58"/>
      <c r="Q215" s="71">
        <f t="shared" si="52"/>
        <v>0</v>
      </c>
      <c r="R215" s="57"/>
      <c r="S215" s="58"/>
      <c r="T215" s="71">
        <f t="shared" si="53"/>
        <v>0</v>
      </c>
      <c r="U215" s="57"/>
      <c r="V215" s="58"/>
      <c r="W215" s="71">
        <f t="shared" si="54"/>
        <v>0</v>
      </c>
      <c r="X215" s="69">
        <f t="shared" si="55"/>
        <v>10</v>
      </c>
    </row>
    <row r="216" spans="5:24" ht="15.75" x14ac:dyDescent="0.25">
      <c r="E216" s="51"/>
      <c r="F216" s="57"/>
      <c r="G216" s="58"/>
      <c r="H216" s="71">
        <f t="shared" si="49"/>
        <v>0</v>
      </c>
      <c r="I216" s="57"/>
      <c r="J216" s="58"/>
      <c r="K216" s="71">
        <f t="shared" si="50"/>
        <v>0</v>
      </c>
      <c r="L216" s="57"/>
      <c r="M216" s="58"/>
      <c r="N216" s="71">
        <f t="shared" si="51"/>
        <v>0</v>
      </c>
      <c r="O216" s="57"/>
      <c r="P216" s="58"/>
      <c r="Q216" s="71">
        <f t="shared" si="52"/>
        <v>0</v>
      </c>
      <c r="R216" s="57"/>
      <c r="S216" s="58"/>
      <c r="T216" s="71">
        <f t="shared" si="53"/>
        <v>0</v>
      </c>
      <c r="U216" s="57"/>
      <c r="V216" s="58"/>
      <c r="W216" s="71">
        <f t="shared" si="54"/>
        <v>0</v>
      </c>
      <c r="X216" s="69">
        <f t="shared" si="55"/>
        <v>10</v>
      </c>
    </row>
    <row r="217" spans="5:24" ht="15.75" x14ac:dyDescent="0.25">
      <c r="E217" s="51"/>
      <c r="F217" s="57"/>
      <c r="G217" s="58"/>
      <c r="H217" s="71">
        <f t="shared" si="49"/>
        <v>0</v>
      </c>
      <c r="I217" s="57"/>
      <c r="J217" s="58"/>
      <c r="K217" s="71">
        <f t="shared" si="50"/>
        <v>0</v>
      </c>
      <c r="L217" s="57"/>
      <c r="M217" s="58"/>
      <c r="N217" s="71">
        <f t="shared" si="51"/>
        <v>0</v>
      </c>
      <c r="O217" s="57"/>
      <c r="P217" s="58"/>
      <c r="Q217" s="71">
        <f t="shared" si="52"/>
        <v>0</v>
      </c>
      <c r="R217" s="57"/>
      <c r="S217" s="58"/>
      <c r="T217" s="71">
        <f t="shared" si="53"/>
        <v>0</v>
      </c>
      <c r="U217" s="57"/>
      <c r="V217" s="58"/>
      <c r="W217" s="71">
        <f t="shared" si="54"/>
        <v>0</v>
      </c>
      <c r="X217" s="69">
        <f t="shared" si="55"/>
        <v>10</v>
      </c>
    </row>
    <row r="218" spans="5:24" ht="15.75" x14ac:dyDescent="0.25">
      <c r="E218" s="51"/>
      <c r="F218" s="57"/>
      <c r="G218" s="58"/>
      <c r="H218" s="71">
        <f t="shared" si="49"/>
        <v>0</v>
      </c>
      <c r="I218" s="57"/>
      <c r="J218" s="58"/>
      <c r="K218" s="71">
        <f t="shared" si="50"/>
        <v>0</v>
      </c>
      <c r="L218" s="57"/>
      <c r="M218" s="58"/>
      <c r="N218" s="71">
        <f t="shared" si="51"/>
        <v>0</v>
      </c>
      <c r="O218" s="57"/>
      <c r="P218" s="58"/>
      <c r="Q218" s="71">
        <f t="shared" si="52"/>
        <v>0</v>
      </c>
      <c r="R218" s="57"/>
      <c r="S218" s="58"/>
      <c r="T218" s="71">
        <f t="shared" si="53"/>
        <v>0</v>
      </c>
      <c r="U218" s="57"/>
      <c r="V218" s="58"/>
      <c r="W218" s="71">
        <f t="shared" si="54"/>
        <v>0</v>
      </c>
      <c r="X218" s="69">
        <f t="shared" si="55"/>
        <v>10</v>
      </c>
    </row>
    <row r="219" spans="5:24" ht="15.75" x14ac:dyDescent="0.25">
      <c r="E219" s="51"/>
      <c r="F219" s="57"/>
      <c r="G219" s="58"/>
      <c r="H219" s="71">
        <f t="shared" si="49"/>
        <v>0</v>
      </c>
      <c r="I219" s="57"/>
      <c r="J219" s="58"/>
      <c r="K219" s="71">
        <f t="shared" si="50"/>
        <v>0</v>
      </c>
      <c r="L219" s="57"/>
      <c r="M219" s="58"/>
      <c r="N219" s="71">
        <f t="shared" si="51"/>
        <v>0</v>
      </c>
      <c r="O219" s="57"/>
      <c r="P219" s="58"/>
      <c r="Q219" s="71">
        <f t="shared" si="52"/>
        <v>0</v>
      </c>
      <c r="R219" s="57"/>
      <c r="S219" s="58"/>
      <c r="T219" s="71">
        <f t="shared" si="53"/>
        <v>0</v>
      </c>
      <c r="U219" s="57"/>
      <c r="V219" s="58"/>
      <c r="W219" s="71">
        <f t="shared" si="54"/>
        <v>0</v>
      </c>
      <c r="X219" s="69">
        <f t="shared" si="55"/>
        <v>10</v>
      </c>
    </row>
    <row r="220" spans="5:24" ht="15.75" x14ac:dyDescent="0.25">
      <c r="E220" s="51"/>
      <c r="F220" s="57"/>
      <c r="G220" s="58"/>
      <c r="H220" s="71">
        <f t="shared" si="49"/>
        <v>0</v>
      </c>
      <c r="I220" s="57"/>
      <c r="J220" s="58"/>
      <c r="K220" s="71">
        <f t="shared" si="50"/>
        <v>0</v>
      </c>
      <c r="L220" s="57"/>
      <c r="M220" s="58"/>
      <c r="N220" s="71">
        <f t="shared" si="51"/>
        <v>0</v>
      </c>
      <c r="O220" s="57"/>
      <c r="P220" s="58"/>
      <c r="Q220" s="71">
        <f t="shared" si="52"/>
        <v>0</v>
      </c>
      <c r="R220" s="57"/>
      <c r="S220" s="58"/>
      <c r="T220" s="71">
        <f t="shared" si="53"/>
        <v>0</v>
      </c>
      <c r="U220" s="57"/>
      <c r="V220" s="58"/>
      <c r="W220" s="71">
        <f t="shared" si="54"/>
        <v>0</v>
      </c>
      <c r="X220" s="69">
        <f t="shared" si="55"/>
        <v>10</v>
      </c>
    </row>
    <row r="221" spans="5:24" ht="15.75" x14ac:dyDescent="0.25">
      <c r="E221" s="51"/>
      <c r="F221" s="57"/>
      <c r="G221" s="58"/>
      <c r="H221" s="71">
        <f t="shared" si="49"/>
        <v>0</v>
      </c>
      <c r="I221" s="57"/>
      <c r="J221" s="58"/>
      <c r="K221" s="71">
        <f t="shared" si="50"/>
        <v>0</v>
      </c>
      <c r="L221" s="57"/>
      <c r="M221" s="58"/>
      <c r="N221" s="71">
        <f t="shared" si="51"/>
        <v>0</v>
      </c>
      <c r="O221" s="57"/>
      <c r="P221" s="58"/>
      <c r="Q221" s="71">
        <f t="shared" si="52"/>
        <v>0</v>
      </c>
      <c r="R221" s="57"/>
      <c r="S221" s="58"/>
      <c r="T221" s="71">
        <f t="shared" si="53"/>
        <v>0</v>
      </c>
      <c r="U221" s="57"/>
      <c r="V221" s="58"/>
      <c r="W221" s="71">
        <f t="shared" si="54"/>
        <v>0</v>
      </c>
      <c r="X221" s="69">
        <f t="shared" si="55"/>
        <v>10</v>
      </c>
    </row>
    <row r="222" spans="5:24" ht="15.75" x14ac:dyDescent="0.25">
      <c r="E222" s="51"/>
      <c r="F222" s="57"/>
      <c r="G222" s="58"/>
      <c r="H222" s="71">
        <f t="shared" si="49"/>
        <v>0</v>
      </c>
      <c r="I222" s="57"/>
      <c r="J222" s="58"/>
      <c r="K222" s="71">
        <f t="shared" si="50"/>
        <v>0</v>
      </c>
      <c r="L222" s="57"/>
      <c r="M222" s="58"/>
      <c r="N222" s="71">
        <f t="shared" si="51"/>
        <v>0</v>
      </c>
      <c r="O222" s="57"/>
      <c r="P222" s="58"/>
      <c r="Q222" s="71">
        <f t="shared" si="52"/>
        <v>0</v>
      </c>
      <c r="R222" s="57"/>
      <c r="S222" s="58"/>
      <c r="T222" s="71">
        <f t="shared" si="53"/>
        <v>0</v>
      </c>
      <c r="U222" s="57"/>
      <c r="V222" s="58"/>
      <c r="W222" s="71">
        <f t="shared" si="54"/>
        <v>0</v>
      </c>
      <c r="X222" s="69">
        <f t="shared" si="55"/>
        <v>10</v>
      </c>
    </row>
    <row r="223" spans="5:24" ht="15.75" x14ac:dyDescent="0.25">
      <c r="E223" s="51"/>
      <c r="F223" s="57"/>
      <c r="G223" s="58"/>
      <c r="H223" s="71">
        <f t="shared" si="49"/>
        <v>0</v>
      </c>
      <c r="I223" s="57"/>
      <c r="J223" s="58"/>
      <c r="K223" s="71">
        <f t="shared" si="50"/>
        <v>0</v>
      </c>
      <c r="L223" s="57"/>
      <c r="M223" s="58"/>
      <c r="N223" s="71">
        <f t="shared" si="51"/>
        <v>0</v>
      </c>
      <c r="O223" s="57"/>
      <c r="P223" s="58"/>
      <c r="Q223" s="71">
        <f t="shared" si="52"/>
        <v>0</v>
      </c>
      <c r="R223" s="57"/>
      <c r="S223" s="58"/>
      <c r="T223" s="71">
        <f t="shared" si="53"/>
        <v>0</v>
      </c>
      <c r="U223" s="57"/>
      <c r="V223" s="58"/>
      <c r="W223" s="71">
        <f t="shared" si="54"/>
        <v>0</v>
      </c>
      <c r="X223" s="69">
        <f t="shared" si="55"/>
        <v>10</v>
      </c>
    </row>
    <row r="224" spans="5:24" ht="15.75" x14ac:dyDescent="0.25">
      <c r="E224" s="51"/>
      <c r="F224" s="57"/>
      <c r="G224" s="58"/>
      <c r="H224" s="71">
        <f t="shared" si="49"/>
        <v>0</v>
      </c>
      <c r="I224" s="57"/>
      <c r="J224" s="58"/>
      <c r="K224" s="71">
        <f t="shared" si="50"/>
        <v>0</v>
      </c>
      <c r="L224" s="57"/>
      <c r="M224" s="58"/>
      <c r="N224" s="71">
        <f t="shared" si="51"/>
        <v>0</v>
      </c>
      <c r="O224" s="57"/>
      <c r="P224" s="58"/>
      <c r="Q224" s="71">
        <f t="shared" si="52"/>
        <v>0</v>
      </c>
      <c r="R224" s="57"/>
      <c r="S224" s="58"/>
      <c r="T224" s="71">
        <f t="shared" si="53"/>
        <v>0</v>
      </c>
      <c r="U224" s="57"/>
      <c r="V224" s="58"/>
      <c r="W224" s="71">
        <f t="shared" si="54"/>
        <v>0</v>
      </c>
      <c r="X224" s="69">
        <f t="shared" si="55"/>
        <v>10</v>
      </c>
    </row>
    <row r="225" spans="5:24" ht="15.75" x14ac:dyDescent="0.25">
      <c r="E225" s="51"/>
      <c r="F225" s="57"/>
      <c r="G225" s="58"/>
      <c r="H225" s="71">
        <f t="shared" si="49"/>
        <v>0</v>
      </c>
      <c r="I225" s="57"/>
      <c r="J225" s="58"/>
      <c r="K225" s="71">
        <f t="shared" si="50"/>
        <v>0</v>
      </c>
      <c r="L225" s="57"/>
      <c r="M225" s="58"/>
      <c r="N225" s="71">
        <f t="shared" si="51"/>
        <v>0</v>
      </c>
      <c r="O225" s="57"/>
      <c r="P225" s="58"/>
      <c r="Q225" s="71">
        <f t="shared" si="52"/>
        <v>0</v>
      </c>
      <c r="R225" s="57"/>
      <c r="S225" s="58"/>
      <c r="T225" s="71">
        <f t="shared" si="53"/>
        <v>0</v>
      </c>
      <c r="U225" s="57"/>
      <c r="V225" s="58"/>
      <c r="W225" s="71">
        <f t="shared" si="54"/>
        <v>0</v>
      </c>
      <c r="X225" s="69">
        <f t="shared" si="55"/>
        <v>10</v>
      </c>
    </row>
    <row r="226" spans="5:24" ht="15.75" x14ac:dyDescent="0.25">
      <c r="E226" s="51"/>
      <c r="F226" s="57"/>
      <c r="G226" s="58"/>
      <c r="H226" s="71">
        <f t="shared" si="49"/>
        <v>0</v>
      </c>
      <c r="I226" s="57"/>
      <c r="J226" s="58"/>
      <c r="K226" s="71">
        <f t="shared" si="50"/>
        <v>0</v>
      </c>
      <c r="L226" s="57"/>
      <c r="M226" s="58"/>
      <c r="N226" s="71">
        <f t="shared" si="51"/>
        <v>0</v>
      </c>
      <c r="O226" s="57"/>
      <c r="P226" s="58"/>
      <c r="Q226" s="71">
        <f t="shared" si="52"/>
        <v>0</v>
      </c>
      <c r="R226" s="57"/>
      <c r="S226" s="58"/>
      <c r="T226" s="71">
        <f t="shared" si="53"/>
        <v>0</v>
      </c>
      <c r="U226" s="57"/>
      <c r="V226" s="58"/>
      <c r="W226" s="71">
        <f t="shared" si="54"/>
        <v>0</v>
      </c>
      <c r="X226" s="69">
        <f t="shared" si="55"/>
        <v>10</v>
      </c>
    </row>
    <row r="227" spans="5:24" ht="15.75" x14ac:dyDescent="0.25">
      <c r="E227" s="67" t="s">
        <v>906</v>
      </c>
      <c r="F227" s="76"/>
      <c r="G227" s="75"/>
      <c r="H227" s="72">
        <f>SUM(H211:H226)</f>
        <v>0</v>
      </c>
      <c r="I227" s="76"/>
      <c r="J227" s="75"/>
      <c r="K227" s="72">
        <f>SUM(K211:K225)</f>
        <v>0</v>
      </c>
      <c r="L227" s="76"/>
      <c r="M227" s="75"/>
      <c r="N227" s="72">
        <f>SUM(N211:N226)</f>
        <v>0</v>
      </c>
      <c r="O227" s="76"/>
      <c r="P227" s="75"/>
      <c r="Q227" s="72">
        <f>SUM(Q211:Q226)</f>
        <v>0</v>
      </c>
      <c r="R227" s="76"/>
      <c r="S227" s="75"/>
      <c r="T227" s="72">
        <f>SUM(T211:T226)</f>
        <v>0</v>
      </c>
      <c r="U227" s="76"/>
      <c r="V227" s="75"/>
      <c r="W227" s="72">
        <f>SUM(W211:W226)</f>
        <v>0</v>
      </c>
      <c r="X227" s="80"/>
    </row>
    <row r="229" spans="5:24" ht="45.75" customHeight="1" x14ac:dyDescent="0.25">
      <c r="E229" s="83" t="s">
        <v>907</v>
      </c>
      <c r="F229" s="81" t="s">
        <v>886</v>
      </c>
      <c r="G229" s="82" t="s">
        <v>887</v>
      </c>
      <c r="H229" s="82" t="s">
        <v>888</v>
      </c>
      <c r="I229" s="81" t="s">
        <v>886</v>
      </c>
      <c r="J229" s="82" t="s">
        <v>887</v>
      </c>
      <c r="K229" s="82" t="s">
        <v>888</v>
      </c>
      <c r="L229" s="81" t="s">
        <v>886</v>
      </c>
      <c r="M229" s="82" t="s">
        <v>887</v>
      </c>
      <c r="N229" s="82" t="s">
        <v>888</v>
      </c>
      <c r="O229" s="81" t="s">
        <v>886</v>
      </c>
      <c r="P229" s="82" t="s">
        <v>887</v>
      </c>
      <c r="Q229" s="82" t="s">
        <v>888</v>
      </c>
      <c r="R229" s="81" t="s">
        <v>886</v>
      </c>
      <c r="S229" s="82" t="s">
        <v>887</v>
      </c>
      <c r="T229" s="82" t="s">
        <v>888</v>
      </c>
      <c r="U229" s="81" t="s">
        <v>886</v>
      </c>
      <c r="V229" s="82" t="s">
        <v>887</v>
      </c>
      <c r="W229" s="82" t="s">
        <v>888</v>
      </c>
      <c r="X229" s="82" t="s">
        <v>889</v>
      </c>
    </row>
    <row r="230" spans="5:24" ht="15.75" x14ac:dyDescent="0.25">
      <c r="E230" s="51"/>
      <c r="F230" s="57"/>
      <c r="G230" s="58"/>
      <c r="H230" s="71">
        <f>F230*G230</f>
        <v>0</v>
      </c>
      <c r="I230" s="57"/>
      <c r="J230" s="58"/>
      <c r="K230" s="71">
        <f>I230*J230</f>
        <v>0</v>
      </c>
      <c r="L230" s="57"/>
      <c r="M230" s="58"/>
      <c r="N230" s="71">
        <f>L230*M230</f>
        <v>0</v>
      </c>
      <c r="O230" s="57"/>
      <c r="P230" s="58"/>
      <c r="Q230" s="71">
        <f>O230*P230</f>
        <v>0</v>
      </c>
      <c r="R230" s="57"/>
      <c r="S230" s="58"/>
      <c r="T230" s="71">
        <f>R230*S230</f>
        <v>0</v>
      </c>
      <c r="U230" s="57"/>
      <c r="V230" s="58"/>
      <c r="W230" s="71">
        <f>U230*V230</f>
        <v>0</v>
      </c>
      <c r="X230" s="69">
        <f>BASES!G42</f>
        <v>5</v>
      </c>
    </row>
    <row r="231" spans="5:24" ht="15.75" x14ac:dyDescent="0.25">
      <c r="E231" s="51"/>
      <c r="F231" s="57"/>
      <c r="G231" s="58"/>
      <c r="H231" s="71">
        <f t="shared" ref="H231:H236" si="56">F231*G231</f>
        <v>0</v>
      </c>
      <c r="I231" s="57"/>
      <c r="J231" s="58"/>
      <c r="K231" s="71">
        <f t="shared" ref="K231:K236" si="57">I231*J231</f>
        <v>0</v>
      </c>
      <c r="L231" s="57"/>
      <c r="M231" s="58"/>
      <c r="N231" s="71">
        <f t="shared" ref="N231:N236" si="58">L231*M231</f>
        <v>0</v>
      </c>
      <c r="O231" s="57"/>
      <c r="P231" s="58"/>
      <c r="Q231" s="71">
        <f t="shared" ref="Q231:Q236" si="59">O231*P231</f>
        <v>0</v>
      </c>
      <c r="R231" s="57"/>
      <c r="S231" s="58"/>
      <c r="T231" s="71">
        <f t="shared" ref="T231:T236" si="60">R231*S231</f>
        <v>0</v>
      </c>
      <c r="U231" s="57"/>
      <c r="V231" s="58"/>
      <c r="W231" s="71">
        <f t="shared" ref="W231:W236" si="61">U231*V231</f>
        <v>0</v>
      </c>
      <c r="X231" s="69">
        <f>X230</f>
        <v>5</v>
      </c>
    </row>
    <row r="232" spans="5:24" ht="15.75" x14ac:dyDescent="0.25">
      <c r="E232" s="51"/>
      <c r="F232" s="57"/>
      <c r="G232" s="58"/>
      <c r="H232" s="71">
        <f t="shared" si="56"/>
        <v>0</v>
      </c>
      <c r="I232" s="57"/>
      <c r="J232" s="58"/>
      <c r="K232" s="71">
        <f t="shared" si="57"/>
        <v>0</v>
      </c>
      <c r="L232" s="57"/>
      <c r="M232" s="58"/>
      <c r="N232" s="71">
        <f t="shared" si="58"/>
        <v>0</v>
      </c>
      <c r="O232" s="57"/>
      <c r="P232" s="58"/>
      <c r="Q232" s="71">
        <f t="shared" si="59"/>
        <v>0</v>
      </c>
      <c r="R232" s="57"/>
      <c r="S232" s="58"/>
      <c r="T232" s="71">
        <f t="shared" si="60"/>
        <v>0</v>
      </c>
      <c r="U232" s="57"/>
      <c r="V232" s="58"/>
      <c r="W232" s="71">
        <f t="shared" si="61"/>
        <v>0</v>
      </c>
      <c r="X232" s="69">
        <f t="shared" ref="X232:X236" si="62">X231</f>
        <v>5</v>
      </c>
    </row>
    <row r="233" spans="5:24" ht="15.75" x14ac:dyDescent="0.25">
      <c r="E233" s="51"/>
      <c r="F233" s="57"/>
      <c r="G233" s="58"/>
      <c r="H233" s="71">
        <f t="shared" si="56"/>
        <v>0</v>
      </c>
      <c r="I233" s="57"/>
      <c r="J233" s="58"/>
      <c r="K233" s="71">
        <f t="shared" si="57"/>
        <v>0</v>
      </c>
      <c r="L233" s="57"/>
      <c r="M233" s="58"/>
      <c r="N233" s="71">
        <f t="shared" si="58"/>
        <v>0</v>
      </c>
      <c r="O233" s="57"/>
      <c r="P233" s="58"/>
      <c r="Q233" s="71">
        <f t="shared" si="59"/>
        <v>0</v>
      </c>
      <c r="R233" s="57"/>
      <c r="S233" s="58"/>
      <c r="T233" s="71">
        <f t="shared" si="60"/>
        <v>0</v>
      </c>
      <c r="U233" s="57"/>
      <c r="V233" s="58"/>
      <c r="W233" s="71">
        <f t="shared" si="61"/>
        <v>0</v>
      </c>
      <c r="X233" s="69">
        <f t="shared" si="62"/>
        <v>5</v>
      </c>
    </row>
    <row r="234" spans="5:24" ht="15.75" x14ac:dyDescent="0.25">
      <c r="E234" s="51"/>
      <c r="F234" s="57"/>
      <c r="G234" s="58"/>
      <c r="H234" s="71">
        <f t="shared" si="56"/>
        <v>0</v>
      </c>
      <c r="I234" s="57"/>
      <c r="J234" s="58"/>
      <c r="K234" s="71">
        <f t="shared" si="57"/>
        <v>0</v>
      </c>
      <c r="L234" s="57"/>
      <c r="M234" s="58"/>
      <c r="N234" s="71">
        <f t="shared" si="58"/>
        <v>0</v>
      </c>
      <c r="O234" s="57"/>
      <c r="P234" s="58"/>
      <c r="Q234" s="71">
        <f t="shared" si="59"/>
        <v>0</v>
      </c>
      <c r="R234" s="57"/>
      <c r="S234" s="58"/>
      <c r="T234" s="71">
        <f t="shared" si="60"/>
        <v>0</v>
      </c>
      <c r="U234" s="57"/>
      <c r="V234" s="58"/>
      <c r="W234" s="71">
        <f t="shared" si="61"/>
        <v>0</v>
      </c>
      <c r="X234" s="69">
        <f t="shared" si="62"/>
        <v>5</v>
      </c>
    </row>
    <row r="235" spans="5:24" ht="15.75" x14ac:dyDescent="0.25">
      <c r="E235" s="51"/>
      <c r="F235" s="57"/>
      <c r="G235" s="58"/>
      <c r="H235" s="71">
        <f t="shared" si="56"/>
        <v>0</v>
      </c>
      <c r="I235" s="57"/>
      <c r="J235" s="58"/>
      <c r="K235" s="71">
        <f t="shared" si="57"/>
        <v>0</v>
      </c>
      <c r="L235" s="57"/>
      <c r="M235" s="58"/>
      <c r="N235" s="71">
        <f t="shared" si="58"/>
        <v>0</v>
      </c>
      <c r="O235" s="57"/>
      <c r="P235" s="58"/>
      <c r="Q235" s="71">
        <f t="shared" si="59"/>
        <v>0</v>
      </c>
      <c r="R235" s="57"/>
      <c r="S235" s="58"/>
      <c r="T235" s="71">
        <f t="shared" si="60"/>
        <v>0</v>
      </c>
      <c r="U235" s="57"/>
      <c r="V235" s="58"/>
      <c r="W235" s="71">
        <f t="shared" si="61"/>
        <v>0</v>
      </c>
      <c r="X235" s="69">
        <f t="shared" si="62"/>
        <v>5</v>
      </c>
    </row>
    <row r="236" spans="5:24" ht="15.75" x14ac:dyDescent="0.25">
      <c r="E236" s="51"/>
      <c r="F236" s="57"/>
      <c r="G236" s="58"/>
      <c r="H236" s="71">
        <f t="shared" si="56"/>
        <v>0</v>
      </c>
      <c r="I236" s="57"/>
      <c r="J236" s="58"/>
      <c r="K236" s="71">
        <f t="shared" si="57"/>
        <v>0</v>
      </c>
      <c r="L236" s="57"/>
      <c r="M236" s="58"/>
      <c r="N236" s="71">
        <f t="shared" si="58"/>
        <v>0</v>
      </c>
      <c r="O236" s="57"/>
      <c r="P236" s="58"/>
      <c r="Q236" s="71">
        <f t="shared" si="59"/>
        <v>0</v>
      </c>
      <c r="R236" s="57"/>
      <c r="S236" s="58"/>
      <c r="T236" s="71">
        <f t="shared" si="60"/>
        <v>0</v>
      </c>
      <c r="U236" s="57"/>
      <c r="V236" s="58"/>
      <c r="W236" s="71">
        <f t="shared" si="61"/>
        <v>0</v>
      </c>
      <c r="X236" s="69">
        <f t="shared" si="62"/>
        <v>5</v>
      </c>
    </row>
    <row r="237" spans="5:24" ht="15.75" x14ac:dyDescent="0.25">
      <c r="E237" s="67" t="s">
        <v>908</v>
      </c>
      <c r="F237" s="76"/>
      <c r="G237" s="75"/>
      <c r="H237" s="72">
        <f>SUM(H230:H236)</f>
        <v>0</v>
      </c>
      <c r="I237" s="76"/>
      <c r="J237" s="75"/>
      <c r="K237" s="72">
        <f>SUM(K230:K236)</f>
        <v>0</v>
      </c>
      <c r="L237" s="76"/>
      <c r="M237" s="75"/>
      <c r="N237" s="72">
        <f>SUM(N230:N236)</f>
        <v>0</v>
      </c>
      <c r="O237" s="76"/>
      <c r="P237" s="75"/>
      <c r="Q237" s="72">
        <f>SUM(Q230:Q236)</f>
        <v>0</v>
      </c>
      <c r="R237" s="76"/>
      <c r="S237" s="75"/>
      <c r="T237" s="72">
        <f>SUM(T230:T236)</f>
        <v>0</v>
      </c>
      <c r="U237" s="76"/>
      <c r="V237" s="75"/>
      <c r="W237" s="72">
        <f>SUM(W230:W236)</f>
        <v>0</v>
      </c>
      <c r="X237" s="80"/>
    </row>
    <row r="239" spans="5:24" ht="15.75" x14ac:dyDescent="0.25">
      <c r="E239" s="675" t="s">
        <v>909</v>
      </c>
      <c r="F239" s="675"/>
      <c r="G239" s="675"/>
      <c r="H239" s="84">
        <f>H208+H227+H237</f>
        <v>0</v>
      </c>
      <c r="I239" s="84"/>
      <c r="J239" s="84"/>
      <c r="K239" s="84">
        <f t="shared" ref="K239:W239" si="63">K208+K227+K237</f>
        <v>0</v>
      </c>
      <c r="L239" s="84"/>
      <c r="M239" s="84"/>
      <c r="N239" s="84">
        <f t="shared" si="63"/>
        <v>0</v>
      </c>
      <c r="O239" s="84"/>
      <c r="P239" s="84"/>
      <c r="Q239" s="84">
        <f t="shared" si="63"/>
        <v>0</v>
      </c>
      <c r="R239" s="84"/>
      <c r="S239" s="84"/>
      <c r="T239" s="84">
        <f t="shared" si="63"/>
        <v>0</v>
      </c>
      <c r="U239" s="84"/>
      <c r="V239" s="84"/>
      <c r="W239" s="84">
        <f t="shared" si="63"/>
        <v>0</v>
      </c>
      <c r="X239"/>
    </row>
    <row r="241" spans="5:24" ht="15.75" x14ac:dyDescent="0.25">
      <c r="E241" s="68" t="s">
        <v>910</v>
      </c>
      <c r="F241" s="81" t="s">
        <v>886</v>
      </c>
      <c r="G241" s="82" t="s">
        <v>887</v>
      </c>
      <c r="H241" s="82" t="s">
        <v>888</v>
      </c>
      <c r="I241" s="81" t="s">
        <v>886</v>
      </c>
      <c r="J241" s="82" t="s">
        <v>887</v>
      </c>
      <c r="K241" s="82" t="s">
        <v>888</v>
      </c>
      <c r="L241" s="81" t="s">
        <v>886</v>
      </c>
      <c r="M241" s="82" t="s">
        <v>887</v>
      </c>
      <c r="N241" s="82" t="s">
        <v>888</v>
      </c>
      <c r="O241" s="81" t="s">
        <v>886</v>
      </c>
      <c r="P241" s="82" t="s">
        <v>887</v>
      </c>
      <c r="Q241" s="82" t="s">
        <v>888</v>
      </c>
      <c r="R241" s="81" t="s">
        <v>886</v>
      </c>
      <c r="S241" s="82" t="s">
        <v>887</v>
      </c>
      <c r="T241" s="82" t="s">
        <v>888</v>
      </c>
      <c r="U241" s="81" t="s">
        <v>886</v>
      </c>
      <c r="V241" s="82" t="s">
        <v>887</v>
      </c>
      <c r="W241" s="82" t="s">
        <v>888</v>
      </c>
      <c r="X241" s="67" t="s">
        <v>889</v>
      </c>
    </row>
    <row r="242" spans="5:24" ht="15.75" x14ac:dyDescent="0.25">
      <c r="E242" s="68" t="s">
        <v>911</v>
      </c>
      <c r="F242" s="57"/>
      <c r="G242" s="58"/>
      <c r="H242" s="71">
        <f>F242*G242</f>
        <v>0</v>
      </c>
      <c r="I242" s="57"/>
      <c r="J242" s="58"/>
      <c r="K242" s="71">
        <f>I242*J242</f>
        <v>0</v>
      </c>
      <c r="L242" s="57"/>
      <c r="M242" s="58"/>
      <c r="N242" s="71">
        <f>L242*M242</f>
        <v>0</v>
      </c>
      <c r="O242" s="57"/>
      <c r="P242" s="58"/>
      <c r="Q242" s="71">
        <f>O242*P242</f>
        <v>0</v>
      </c>
      <c r="R242" s="57"/>
      <c r="S242" s="58"/>
      <c r="T242" s="71">
        <f>R242*S242</f>
        <v>0</v>
      </c>
      <c r="U242" s="57"/>
      <c r="V242" s="58"/>
      <c r="W242" s="71">
        <f>U242*V242</f>
        <v>0</v>
      </c>
      <c r="X242" s="69">
        <f>X236</f>
        <v>5</v>
      </c>
    </row>
    <row r="243" spans="5:24" ht="15.75" x14ac:dyDescent="0.25">
      <c r="E243" s="68" t="s">
        <v>912</v>
      </c>
      <c r="F243" s="57"/>
      <c r="G243" s="58"/>
      <c r="H243" s="71">
        <f t="shared" ref="H243:H244" si="64">F243*G243</f>
        <v>0</v>
      </c>
      <c r="I243" s="57"/>
      <c r="J243" s="58"/>
      <c r="K243" s="71">
        <f t="shared" ref="K243:K244" si="65">I243*J243</f>
        <v>0</v>
      </c>
      <c r="L243" s="57"/>
      <c r="M243" s="58"/>
      <c r="N243" s="71">
        <f t="shared" ref="N243:N244" si="66">L243*M243</f>
        <v>0</v>
      </c>
      <c r="O243" s="57"/>
      <c r="P243" s="58"/>
      <c r="Q243" s="71">
        <f t="shared" ref="Q243:Q244" si="67">O243*P243</f>
        <v>0</v>
      </c>
      <c r="R243" s="57"/>
      <c r="S243" s="58"/>
      <c r="T243" s="71">
        <f t="shared" ref="T243:T244" si="68">R243*S243</f>
        <v>0</v>
      </c>
      <c r="U243" s="57"/>
      <c r="V243" s="58"/>
      <c r="W243" s="71">
        <f t="shared" ref="W243:W244" si="69">U243*V243</f>
        <v>0</v>
      </c>
      <c r="X243" s="69">
        <f>X242</f>
        <v>5</v>
      </c>
    </row>
    <row r="244" spans="5:24" ht="15.75" x14ac:dyDescent="0.25">
      <c r="E244" s="68" t="s">
        <v>913</v>
      </c>
      <c r="F244" s="57"/>
      <c r="G244" s="58"/>
      <c r="H244" s="71">
        <f t="shared" si="64"/>
        <v>0</v>
      </c>
      <c r="I244" s="57"/>
      <c r="J244" s="58"/>
      <c r="K244" s="71">
        <f t="shared" si="65"/>
        <v>0</v>
      </c>
      <c r="L244" s="57"/>
      <c r="M244" s="58"/>
      <c r="N244" s="71">
        <f t="shared" si="66"/>
        <v>0</v>
      </c>
      <c r="O244" s="57"/>
      <c r="P244" s="58"/>
      <c r="Q244" s="71">
        <f t="shared" si="67"/>
        <v>0</v>
      </c>
      <c r="R244" s="57"/>
      <c r="S244" s="58"/>
      <c r="T244" s="71">
        <f t="shared" si="68"/>
        <v>0</v>
      </c>
      <c r="U244" s="57"/>
      <c r="V244" s="58"/>
      <c r="W244" s="71">
        <f t="shared" si="69"/>
        <v>0</v>
      </c>
      <c r="X244" s="69">
        <f>X243</f>
        <v>5</v>
      </c>
    </row>
    <row r="245" spans="5:24" ht="15.75" x14ac:dyDescent="0.25">
      <c r="E245" s="67" t="s">
        <v>914</v>
      </c>
      <c r="F245" s="76"/>
      <c r="G245" s="75"/>
      <c r="H245" s="72">
        <f>SUM(H242:H244)</f>
        <v>0</v>
      </c>
      <c r="I245" s="76"/>
      <c r="J245" s="75"/>
      <c r="K245" s="72">
        <f>SUM(K242:K244)</f>
        <v>0</v>
      </c>
      <c r="L245" s="76"/>
      <c r="M245" s="75"/>
      <c r="N245" s="72">
        <f>SUM(N242:N244)</f>
        <v>0</v>
      </c>
      <c r="O245" s="76"/>
      <c r="P245" s="75"/>
      <c r="Q245" s="72">
        <f>SUM(Q242:Q244)</f>
        <v>0</v>
      </c>
      <c r="R245" s="76"/>
      <c r="S245" s="75"/>
      <c r="T245" s="72">
        <f>SUM(T242:T244)</f>
        <v>0</v>
      </c>
      <c r="U245" s="76"/>
      <c r="V245" s="75"/>
      <c r="W245" s="72">
        <f>SUM(W242:W244)</f>
        <v>0</v>
      </c>
      <c r="X245" s="80"/>
    </row>
    <row r="247" spans="5:24" ht="15.75" x14ac:dyDescent="0.25">
      <c r="E247" s="675" t="s">
        <v>915</v>
      </c>
      <c r="F247" s="675"/>
      <c r="G247" s="675"/>
      <c r="H247" s="84">
        <f>H245</f>
        <v>0</v>
      </c>
      <c r="I247" s="84"/>
      <c r="J247" s="84"/>
      <c r="K247" s="84">
        <f t="shared" ref="K247:W247" si="70">K245</f>
        <v>0</v>
      </c>
      <c r="L247" s="84"/>
      <c r="M247" s="84"/>
      <c r="N247" s="84">
        <f t="shared" si="70"/>
        <v>0</v>
      </c>
      <c r="O247" s="84"/>
      <c r="P247" s="84"/>
      <c r="Q247" s="84">
        <f t="shared" si="70"/>
        <v>0</v>
      </c>
      <c r="R247" s="84"/>
      <c r="S247" s="84"/>
      <c r="T247" s="84">
        <f t="shared" si="70"/>
        <v>0</v>
      </c>
      <c r="U247" s="84"/>
      <c r="V247" s="84"/>
      <c r="W247" s="84">
        <f t="shared" si="70"/>
        <v>0</v>
      </c>
    </row>
    <row r="249" spans="5:24" ht="15.75" x14ac:dyDescent="0.25">
      <c r="E249" s="676" t="s">
        <v>916</v>
      </c>
      <c r="F249" s="676"/>
      <c r="G249" s="676"/>
      <c r="H249" s="86">
        <f>F32+H180+H239+H247</f>
        <v>0</v>
      </c>
      <c r="I249" s="85"/>
      <c r="J249" s="85"/>
      <c r="K249" s="86">
        <f>H32+K180+K239+K247</f>
        <v>0</v>
      </c>
      <c r="L249" s="85"/>
      <c r="M249" s="85"/>
      <c r="N249" s="86">
        <f>H32+N180+N239+N247</f>
        <v>0</v>
      </c>
      <c r="O249" s="85"/>
      <c r="P249" s="85"/>
      <c r="Q249" s="86">
        <f>I32+Q180+Q239+Q247</f>
        <v>0</v>
      </c>
      <c r="R249" s="85"/>
      <c r="S249" s="85"/>
      <c r="T249" s="86">
        <f>J32+T180+T239+T247</f>
        <v>0</v>
      </c>
      <c r="U249" s="85"/>
      <c r="V249" s="85"/>
      <c r="W249" s="86">
        <f>K32+W180+W239+W247</f>
        <v>0</v>
      </c>
    </row>
    <row r="251" spans="5:24" s="461" customFormat="1" x14ac:dyDescent="0.25"/>
    <row r="252" spans="5:24" s="461" customFormat="1" x14ac:dyDescent="0.25">
      <c r="E252" s="670" t="s">
        <v>917</v>
      </c>
      <c r="F252" s="670"/>
      <c r="G252" s="670"/>
      <c r="H252" s="670"/>
      <c r="I252" s="670"/>
      <c r="J252" s="670"/>
      <c r="K252" s="670"/>
      <c r="L252" s="670"/>
      <c r="M252" s="670"/>
    </row>
    <row r="253" spans="5:24" s="461" customFormat="1" x14ac:dyDescent="0.25">
      <c r="E253" s="462" t="s">
        <v>918</v>
      </c>
      <c r="F253" s="462" t="s">
        <v>919</v>
      </c>
      <c r="G253" s="462" t="s">
        <v>920</v>
      </c>
      <c r="H253" s="463" t="str">
        <f>BASES!D11</f>
        <v>AÑO 1</v>
      </c>
      <c r="I253" s="463" t="str">
        <f>BASES!E11</f>
        <v>AÑO 2</v>
      </c>
      <c r="J253" s="463" t="str">
        <f>BASES!F11</f>
        <v>AÑO 3</v>
      </c>
      <c r="K253" s="463" t="str">
        <f>BASES!G11</f>
        <v>AÑO 4</v>
      </c>
      <c r="L253" s="463" t="str">
        <f>BASES!H11</f>
        <v>AÑO 5</v>
      </c>
      <c r="M253" s="462" t="s">
        <v>921</v>
      </c>
    </row>
    <row r="254" spans="5:24" s="461" customFormat="1" x14ac:dyDescent="0.25">
      <c r="E254" s="464" t="s">
        <v>922</v>
      </c>
      <c r="F254" s="465">
        <f>H44</f>
        <v>0</v>
      </c>
      <c r="G254" s="462">
        <f>X37</f>
        <v>20</v>
      </c>
      <c r="H254" s="462">
        <f>ROUND(($F$254/$G$254),0)</f>
        <v>0</v>
      </c>
      <c r="I254" s="462">
        <f t="shared" ref="I254:L254" si="71">ROUND(($F$254/$G$254),0)</f>
        <v>0</v>
      </c>
      <c r="J254" s="462">
        <f t="shared" si="71"/>
        <v>0</v>
      </c>
      <c r="K254" s="462">
        <f t="shared" si="71"/>
        <v>0</v>
      </c>
      <c r="L254" s="462">
        <f t="shared" si="71"/>
        <v>0</v>
      </c>
      <c r="M254" s="465">
        <f>F254-(H254+I254+J254+K254+L254)</f>
        <v>0</v>
      </c>
    </row>
    <row r="255" spans="5:24" s="461" customFormat="1" x14ac:dyDescent="0.25">
      <c r="E255" s="464" t="s">
        <v>923</v>
      </c>
      <c r="F255" s="462"/>
      <c r="G255" s="462"/>
      <c r="H255" s="462">
        <f>H254</f>
        <v>0</v>
      </c>
      <c r="I255" s="462">
        <f>I254+H255</f>
        <v>0</v>
      </c>
      <c r="J255" s="462">
        <f>J254+I255</f>
        <v>0</v>
      </c>
      <c r="K255" s="462">
        <f>K254+J255</f>
        <v>0</v>
      </c>
      <c r="L255" s="462">
        <f>L254+K255</f>
        <v>0</v>
      </c>
      <c r="M255" s="462"/>
    </row>
    <row r="256" spans="5:24" s="461" customFormat="1" x14ac:dyDescent="0.25">
      <c r="E256" s="464" t="s">
        <v>924</v>
      </c>
      <c r="F256" s="465">
        <f>H87</f>
        <v>0</v>
      </c>
      <c r="G256" s="462">
        <f>X47</f>
        <v>10</v>
      </c>
      <c r="H256" s="462">
        <f>ROUND(($F$256/$G$256),0)</f>
        <v>0</v>
      </c>
      <c r="I256" s="462">
        <f t="shared" ref="I256:L256" si="72">ROUND(($F$256/$G$256),0)</f>
        <v>0</v>
      </c>
      <c r="J256" s="462">
        <f t="shared" si="72"/>
        <v>0</v>
      </c>
      <c r="K256" s="462">
        <f t="shared" si="72"/>
        <v>0</v>
      </c>
      <c r="L256" s="462">
        <f t="shared" si="72"/>
        <v>0</v>
      </c>
      <c r="M256" s="465">
        <f>F256-(H256+I256+J256+K256+L256)</f>
        <v>0</v>
      </c>
    </row>
    <row r="257" spans="5:13" s="461" customFormat="1" x14ac:dyDescent="0.25">
      <c r="E257" s="464" t="s">
        <v>923</v>
      </c>
      <c r="F257" s="462"/>
      <c r="G257" s="462"/>
      <c r="H257" s="462">
        <f>H256</f>
        <v>0</v>
      </c>
      <c r="I257" s="462">
        <f>I256+H257</f>
        <v>0</v>
      </c>
      <c r="J257" s="462">
        <f>J256+I257</f>
        <v>0</v>
      </c>
      <c r="K257" s="462">
        <f>K256+J257</f>
        <v>0</v>
      </c>
      <c r="L257" s="462">
        <f>L256+K257</f>
        <v>0</v>
      </c>
      <c r="M257" s="462"/>
    </row>
    <row r="258" spans="5:13" s="461" customFormat="1" x14ac:dyDescent="0.25">
      <c r="E258" s="464" t="s">
        <v>893</v>
      </c>
      <c r="F258" s="465">
        <f>H140</f>
        <v>0</v>
      </c>
      <c r="G258" s="462">
        <f>X90</f>
        <v>5</v>
      </c>
      <c r="H258" s="462">
        <f>ROUND(($F$258/$G$258),0)</f>
        <v>0</v>
      </c>
      <c r="I258" s="462">
        <f t="shared" ref="I258:L258" si="73">ROUND(($F$258/$G$258),0)</f>
        <v>0</v>
      </c>
      <c r="J258" s="462">
        <f t="shared" si="73"/>
        <v>0</v>
      </c>
      <c r="K258" s="462">
        <f t="shared" si="73"/>
        <v>0</v>
      </c>
      <c r="L258" s="462">
        <f t="shared" si="73"/>
        <v>0</v>
      </c>
      <c r="M258" s="465">
        <f>F258-(H258+I258+J258+K258+L258)</f>
        <v>0</v>
      </c>
    </row>
    <row r="259" spans="5:13" s="461" customFormat="1" x14ac:dyDescent="0.25">
      <c r="E259" s="464" t="s">
        <v>923</v>
      </c>
      <c r="F259" s="462"/>
      <c r="G259" s="462"/>
      <c r="H259" s="462">
        <f>H258</f>
        <v>0</v>
      </c>
      <c r="I259" s="462">
        <f>I258+H259</f>
        <v>0</v>
      </c>
      <c r="J259" s="462">
        <f t="shared" ref="J259:L259" si="74">J258+I259</f>
        <v>0</v>
      </c>
      <c r="K259" s="462">
        <f t="shared" si="74"/>
        <v>0</v>
      </c>
      <c r="L259" s="462">
        <f t="shared" si="74"/>
        <v>0</v>
      </c>
      <c r="M259" s="462"/>
    </row>
    <row r="260" spans="5:13" s="461" customFormat="1" x14ac:dyDescent="0.25">
      <c r="E260" s="464" t="s">
        <v>925</v>
      </c>
      <c r="F260" s="465">
        <f>H150</f>
        <v>0</v>
      </c>
      <c r="G260" s="462">
        <f>X143</f>
        <v>5</v>
      </c>
      <c r="H260" s="462">
        <f>ROUND(($F$260/$G$260),0)</f>
        <v>0</v>
      </c>
      <c r="I260" s="462">
        <f t="shared" ref="I260:L260" si="75">ROUND(($F$260/$G$260),0)</f>
        <v>0</v>
      </c>
      <c r="J260" s="462">
        <f t="shared" si="75"/>
        <v>0</v>
      </c>
      <c r="K260" s="462">
        <f t="shared" si="75"/>
        <v>0</v>
      </c>
      <c r="L260" s="462">
        <f t="shared" si="75"/>
        <v>0</v>
      </c>
      <c r="M260" s="465">
        <f>F260-(H260+I260+J260+K260+L260)</f>
        <v>0</v>
      </c>
    </row>
    <row r="261" spans="5:13" s="461" customFormat="1" x14ac:dyDescent="0.25">
      <c r="E261" s="464" t="s">
        <v>923</v>
      </c>
      <c r="F261" s="462"/>
      <c r="G261" s="462"/>
      <c r="H261" s="462">
        <f>H260</f>
        <v>0</v>
      </c>
      <c r="I261" s="462">
        <f>I260+H261</f>
        <v>0</v>
      </c>
      <c r="J261" s="462">
        <f t="shared" ref="J261:K261" si="76">J260+I261</f>
        <v>0</v>
      </c>
      <c r="K261" s="462">
        <f t="shared" si="76"/>
        <v>0</v>
      </c>
      <c r="L261" s="462">
        <f>L260+K261</f>
        <v>0</v>
      </c>
      <c r="M261" s="462"/>
    </row>
    <row r="262" spans="5:13" s="461" customFormat="1" x14ac:dyDescent="0.25">
      <c r="E262" s="464" t="s">
        <v>926</v>
      </c>
      <c r="F262" s="465">
        <f>H178</f>
        <v>0</v>
      </c>
      <c r="G262" s="462">
        <f>X153</f>
        <v>3</v>
      </c>
      <c r="H262" s="462">
        <f>ROUND(($F$262/$G$262),0)</f>
        <v>0</v>
      </c>
      <c r="I262" s="462">
        <f t="shared" ref="I262:L262" si="77">ROUND(($F$262/$G$262),0)</f>
        <v>0</v>
      </c>
      <c r="J262" s="462">
        <f t="shared" si="77"/>
        <v>0</v>
      </c>
      <c r="K262" s="462">
        <f t="shared" si="77"/>
        <v>0</v>
      </c>
      <c r="L262" s="462">
        <f t="shared" si="77"/>
        <v>0</v>
      </c>
      <c r="M262" s="465">
        <f>F262-(H262+I262+J262+K262+L262)</f>
        <v>0</v>
      </c>
    </row>
    <row r="263" spans="5:13" s="461" customFormat="1" x14ac:dyDescent="0.25">
      <c r="E263" s="464" t="s">
        <v>923</v>
      </c>
      <c r="F263" s="462"/>
      <c r="G263" s="462"/>
      <c r="H263" s="462">
        <f>H262</f>
        <v>0</v>
      </c>
      <c r="I263" s="462">
        <f>I262+H263</f>
        <v>0</v>
      </c>
      <c r="J263" s="462">
        <f t="shared" ref="J263:L263" si="78">J262+I263</f>
        <v>0</v>
      </c>
      <c r="K263" s="462">
        <f t="shared" si="78"/>
        <v>0</v>
      </c>
      <c r="L263" s="462">
        <f t="shared" si="78"/>
        <v>0</v>
      </c>
      <c r="M263" s="462"/>
    </row>
    <row r="264" spans="5:13" s="461" customFormat="1" x14ac:dyDescent="0.25">
      <c r="E264" s="462" t="s">
        <v>927</v>
      </c>
      <c r="F264" s="465">
        <f>SUM(F254:F263)</f>
        <v>0</v>
      </c>
      <c r="G264" s="462"/>
      <c r="H264" s="462">
        <f>H254+H256+H258+H260+H262</f>
        <v>0</v>
      </c>
      <c r="I264" s="462">
        <f t="shared" ref="I264:L264" si="79">I254+I256+I258+I260+I262</f>
        <v>0</v>
      </c>
      <c r="J264" s="462">
        <f t="shared" si="79"/>
        <v>0</v>
      </c>
      <c r="K264" s="462">
        <f t="shared" si="79"/>
        <v>0</v>
      </c>
      <c r="L264" s="462">
        <f t="shared" si="79"/>
        <v>0</v>
      </c>
      <c r="M264" s="465">
        <f>M254+M256+M258+M260+M262</f>
        <v>0</v>
      </c>
    </row>
    <row r="265" spans="5:13" s="461" customFormat="1" x14ac:dyDescent="0.25">
      <c r="E265" s="466" t="s">
        <v>928</v>
      </c>
      <c r="F265" s="465">
        <f>H208</f>
        <v>0</v>
      </c>
      <c r="G265" s="462">
        <f>X192</f>
        <v>1</v>
      </c>
      <c r="H265" s="462">
        <f>ROUND(($F$265/$G$265),0)</f>
        <v>0</v>
      </c>
      <c r="I265" s="462"/>
      <c r="J265" s="462"/>
      <c r="K265" s="462"/>
      <c r="L265" s="462"/>
      <c r="M265" s="465">
        <f>F265-H265</f>
        <v>0</v>
      </c>
    </row>
    <row r="266" spans="5:13" s="461" customFormat="1" x14ac:dyDescent="0.25">
      <c r="E266" s="466" t="s">
        <v>929</v>
      </c>
      <c r="F266" s="465">
        <f>H227</f>
        <v>0</v>
      </c>
      <c r="G266" s="462">
        <f>X211</f>
        <v>10</v>
      </c>
      <c r="H266" s="462">
        <f>ROUND(($F$266/$G$266),0)</f>
        <v>0</v>
      </c>
      <c r="I266" s="462">
        <f>ROUND(($F$266/$G$266),0)</f>
        <v>0</v>
      </c>
      <c r="J266" s="462">
        <f>ROUND(($F$266/$G$266),0)</f>
        <v>0</v>
      </c>
      <c r="K266" s="462">
        <f>ROUND(($F$266/$G$266),0)</f>
        <v>0</v>
      </c>
      <c r="L266" s="462">
        <f>ROUND(($F$266/$G$266),0)</f>
        <v>0</v>
      </c>
      <c r="M266" s="465">
        <f>F266-SUM(H266:L266)</f>
        <v>0</v>
      </c>
    </row>
    <row r="267" spans="5:13" s="461" customFormat="1" x14ac:dyDescent="0.25">
      <c r="E267" s="466" t="s">
        <v>930</v>
      </c>
      <c r="F267" s="462"/>
      <c r="G267" s="462"/>
      <c r="H267" s="462">
        <f>H266</f>
        <v>0</v>
      </c>
      <c r="I267" s="462">
        <f>I266+H267</f>
        <v>0</v>
      </c>
      <c r="J267" s="462">
        <f t="shared" ref="J267:L267" si="80">J266+I267</f>
        <v>0</v>
      </c>
      <c r="K267" s="462">
        <f t="shared" si="80"/>
        <v>0</v>
      </c>
      <c r="L267" s="462">
        <f t="shared" si="80"/>
        <v>0</v>
      </c>
      <c r="M267" s="462"/>
    </row>
    <row r="268" spans="5:13" s="461" customFormat="1" x14ac:dyDescent="0.25">
      <c r="E268" s="466" t="s">
        <v>931</v>
      </c>
      <c r="F268" s="465">
        <f>H237</f>
        <v>0</v>
      </c>
      <c r="G268" s="462">
        <f>X230</f>
        <v>5</v>
      </c>
      <c r="H268" s="462">
        <f>ROUND(($F$268/$G$268),0)</f>
        <v>0</v>
      </c>
      <c r="I268" s="462">
        <f>ROUND(($F$268/$G$268),0)</f>
        <v>0</v>
      </c>
      <c r="J268" s="462">
        <f>ROUND(($F$268/$G$268),0)</f>
        <v>0</v>
      </c>
      <c r="K268" s="462">
        <f>ROUND(($F$268/$G$268),0)</f>
        <v>0</v>
      </c>
      <c r="L268" s="462">
        <f>ROUND(($F$268/$G$268),0)</f>
        <v>0</v>
      </c>
      <c r="M268" s="465">
        <f>F268-SUM(H268:L268)</f>
        <v>0</v>
      </c>
    </row>
    <row r="269" spans="5:13" s="461" customFormat="1" x14ac:dyDescent="0.25">
      <c r="E269" s="466" t="s">
        <v>932</v>
      </c>
      <c r="F269" s="462"/>
      <c r="G269" s="462"/>
      <c r="H269" s="462">
        <f>H268</f>
        <v>0</v>
      </c>
      <c r="I269" s="462">
        <f>I268+H269</f>
        <v>0</v>
      </c>
      <c r="J269" s="462">
        <f t="shared" ref="J269:L269" si="81">J268+I269</f>
        <v>0</v>
      </c>
      <c r="K269" s="462">
        <f t="shared" si="81"/>
        <v>0</v>
      </c>
      <c r="L269" s="462">
        <f t="shared" si="81"/>
        <v>0</v>
      </c>
      <c r="M269" s="462"/>
    </row>
    <row r="270" spans="5:13" s="461" customFormat="1" x14ac:dyDescent="0.25">
      <c r="E270" s="466" t="s">
        <v>933</v>
      </c>
      <c r="F270" s="465">
        <f>H247</f>
        <v>0</v>
      </c>
      <c r="G270" s="462">
        <f>X242</f>
        <v>5</v>
      </c>
      <c r="H270" s="462">
        <f>ROUND(($F$270/$G$270),0)</f>
        <v>0</v>
      </c>
      <c r="I270" s="462">
        <f>ROUND(($F$270/$G$270),0)</f>
        <v>0</v>
      </c>
      <c r="J270" s="462">
        <f>ROUND(($F$270/$G$270),0)</f>
        <v>0</v>
      </c>
      <c r="K270" s="462">
        <f>ROUND(($F$270/$G$270),0)</f>
        <v>0</v>
      </c>
      <c r="L270" s="462">
        <f>ROUND(($F$270/$G$270),0)</f>
        <v>0</v>
      </c>
      <c r="M270" s="465">
        <f>F270-SUM(H270:L270)</f>
        <v>0</v>
      </c>
    </row>
    <row r="271" spans="5:13" s="461" customFormat="1" x14ac:dyDescent="0.25">
      <c r="E271" s="466" t="s">
        <v>934</v>
      </c>
      <c r="F271" s="462"/>
      <c r="G271" s="462"/>
      <c r="H271" s="462">
        <f>H270</f>
        <v>0</v>
      </c>
      <c r="I271" s="462">
        <f>I270+H271</f>
        <v>0</v>
      </c>
      <c r="J271" s="462">
        <f t="shared" ref="J271:L271" si="82">J270+I271</f>
        <v>0</v>
      </c>
      <c r="K271" s="462">
        <f t="shared" si="82"/>
        <v>0</v>
      </c>
      <c r="L271" s="462">
        <f t="shared" si="82"/>
        <v>0</v>
      </c>
      <c r="M271" s="462"/>
    </row>
    <row r="272" spans="5:13" s="461" customFormat="1" x14ac:dyDescent="0.25">
      <c r="E272" s="467"/>
      <c r="F272" s="467"/>
      <c r="G272" s="467"/>
      <c r="H272" s="467"/>
      <c r="I272" s="467"/>
      <c r="J272" s="467"/>
      <c r="K272" s="467"/>
      <c r="L272" s="467"/>
      <c r="M272" s="467"/>
    </row>
    <row r="273" spans="5:13" s="461" customFormat="1" x14ac:dyDescent="0.25">
      <c r="E273" s="467"/>
      <c r="F273" s="467"/>
      <c r="G273" s="467"/>
      <c r="H273" s="467"/>
      <c r="I273" s="467"/>
      <c r="J273" s="467"/>
      <c r="K273" s="467"/>
      <c r="L273" s="467"/>
      <c r="M273" s="467"/>
    </row>
    <row r="274" spans="5:13" s="461" customFormat="1" x14ac:dyDescent="0.25">
      <c r="E274" s="670" t="s">
        <v>935</v>
      </c>
      <c r="F274" s="670"/>
      <c r="G274" s="670"/>
      <c r="H274" s="670"/>
      <c r="I274" s="670"/>
      <c r="J274" s="670"/>
      <c r="K274" s="670"/>
      <c r="L274" s="670"/>
      <c r="M274" s="467"/>
    </row>
    <row r="275" spans="5:13" s="461" customFormat="1" x14ac:dyDescent="0.25">
      <c r="E275" s="462" t="s">
        <v>936</v>
      </c>
      <c r="F275" s="463" t="str">
        <f>BASES!D11</f>
        <v>AÑO 1</v>
      </c>
      <c r="G275" s="462" t="s">
        <v>889</v>
      </c>
      <c r="H275" s="463" t="str">
        <f>BASES!E11</f>
        <v>AÑO 2</v>
      </c>
      <c r="I275" s="463" t="str">
        <f>BASES!F11</f>
        <v>AÑO 3</v>
      </c>
      <c r="J275" s="463" t="str">
        <f>BASES!G11</f>
        <v>AÑO 4</v>
      </c>
      <c r="K275" s="463" t="str">
        <f>BASES!H11</f>
        <v>AÑO 5</v>
      </c>
      <c r="L275" s="462" t="s">
        <v>937</v>
      </c>
      <c r="M275" s="467"/>
    </row>
    <row r="276" spans="5:13" s="461" customFormat="1" x14ac:dyDescent="0.25">
      <c r="E276" s="464" t="s">
        <v>922</v>
      </c>
      <c r="F276" s="465">
        <f>K44</f>
        <v>0</v>
      </c>
      <c r="G276" s="462">
        <f>X37</f>
        <v>20</v>
      </c>
      <c r="H276" s="462">
        <f>ROUND(($F$276/$G$276),0)</f>
        <v>0</v>
      </c>
      <c r="I276" s="462">
        <f t="shared" ref="I276:K276" si="83">ROUND(($F$276/$G$276),0)</f>
        <v>0</v>
      </c>
      <c r="J276" s="462">
        <f t="shared" si="83"/>
        <v>0</v>
      </c>
      <c r="K276" s="462">
        <f t="shared" si="83"/>
        <v>0</v>
      </c>
      <c r="L276" s="465">
        <f>F276-SUM(H276:K276)</f>
        <v>0</v>
      </c>
      <c r="M276" s="467"/>
    </row>
    <row r="277" spans="5:13" s="461" customFormat="1" x14ac:dyDescent="0.25">
      <c r="E277" s="464" t="s">
        <v>923</v>
      </c>
      <c r="F277" s="462"/>
      <c r="G277" s="462"/>
      <c r="H277" s="462">
        <f>H276</f>
        <v>0</v>
      </c>
      <c r="I277" s="462">
        <f>I276+H277</f>
        <v>0</v>
      </c>
      <c r="J277" s="462">
        <f t="shared" ref="J277:K277" si="84">J276+I277</f>
        <v>0</v>
      </c>
      <c r="K277" s="462">
        <f t="shared" si="84"/>
        <v>0</v>
      </c>
      <c r="L277" s="462"/>
      <c r="M277" s="467"/>
    </row>
    <row r="278" spans="5:13" s="461" customFormat="1" x14ac:dyDescent="0.25">
      <c r="E278" s="464" t="s">
        <v>924</v>
      </c>
      <c r="F278" s="465">
        <f>K87</f>
        <v>0</v>
      </c>
      <c r="G278" s="462">
        <f>X47</f>
        <v>10</v>
      </c>
      <c r="H278" s="462">
        <f>ROUND(($F$278/$G$278),0)</f>
        <v>0</v>
      </c>
      <c r="I278" s="462">
        <f t="shared" ref="I278:K278" si="85">ROUND(($F$278/$G$278),0)</f>
        <v>0</v>
      </c>
      <c r="J278" s="462">
        <f t="shared" si="85"/>
        <v>0</v>
      </c>
      <c r="K278" s="462">
        <f t="shared" si="85"/>
        <v>0</v>
      </c>
      <c r="L278" s="465">
        <f>F278-SUM(H278:K278)</f>
        <v>0</v>
      </c>
      <c r="M278" s="467"/>
    </row>
    <row r="279" spans="5:13" s="461" customFormat="1" x14ac:dyDescent="0.25">
      <c r="E279" s="464" t="s">
        <v>923</v>
      </c>
      <c r="F279" s="462"/>
      <c r="G279" s="462"/>
      <c r="H279" s="462">
        <f>H278</f>
        <v>0</v>
      </c>
      <c r="I279" s="462">
        <f>I278+H279</f>
        <v>0</v>
      </c>
      <c r="J279" s="462">
        <f t="shared" ref="J279:K279" si="86">J278+I279</f>
        <v>0</v>
      </c>
      <c r="K279" s="462">
        <f t="shared" si="86"/>
        <v>0</v>
      </c>
      <c r="L279" s="462"/>
      <c r="M279" s="467"/>
    </row>
    <row r="280" spans="5:13" s="461" customFormat="1" x14ac:dyDescent="0.25">
      <c r="E280" s="464" t="s">
        <v>893</v>
      </c>
      <c r="F280" s="465">
        <f>K140</f>
        <v>0</v>
      </c>
      <c r="G280" s="462">
        <f>X90</f>
        <v>5</v>
      </c>
      <c r="H280" s="462">
        <f>ROUND(($F$280/$G$280),0)</f>
        <v>0</v>
      </c>
      <c r="I280" s="462">
        <f t="shared" ref="I280:K280" si="87">ROUND(($F$280/$G$280),0)</f>
        <v>0</v>
      </c>
      <c r="J280" s="462">
        <f t="shared" si="87"/>
        <v>0</v>
      </c>
      <c r="K280" s="462">
        <f t="shared" si="87"/>
        <v>0</v>
      </c>
      <c r="L280" s="465">
        <f>F280-SUM(H280:K280)</f>
        <v>0</v>
      </c>
      <c r="M280" s="467"/>
    </row>
    <row r="281" spans="5:13" s="461" customFormat="1" x14ac:dyDescent="0.25">
      <c r="E281" s="464" t="s">
        <v>923</v>
      </c>
      <c r="F281" s="462"/>
      <c r="G281" s="462"/>
      <c r="H281" s="462">
        <f>H280</f>
        <v>0</v>
      </c>
      <c r="I281" s="462">
        <f>I280+H281</f>
        <v>0</v>
      </c>
      <c r="J281" s="462">
        <f t="shared" ref="J281:K281" si="88">J280+I281</f>
        <v>0</v>
      </c>
      <c r="K281" s="462">
        <f t="shared" si="88"/>
        <v>0</v>
      </c>
      <c r="L281" s="462"/>
      <c r="M281" s="467"/>
    </row>
    <row r="282" spans="5:13" s="461" customFormat="1" x14ac:dyDescent="0.25">
      <c r="E282" s="464" t="s">
        <v>925</v>
      </c>
      <c r="F282" s="465">
        <f>K150</f>
        <v>0</v>
      </c>
      <c r="G282" s="462">
        <f>X143</f>
        <v>5</v>
      </c>
      <c r="H282" s="462">
        <f>ROUND(($F$282/$G$282),0)</f>
        <v>0</v>
      </c>
      <c r="I282" s="462">
        <f t="shared" ref="I282:K282" si="89">ROUND(($F$282/$G$282),0)</f>
        <v>0</v>
      </c>
      <c r="J282" s="462">
        <f t="shared" si="89"/>
        <v>0</v>
      </c>
      <c r="K282" s="462">
        <f t="shared" si="89"/>
        <v>0</v>
      </c>
      <c r="L282" s="465">
        <f>F282-SUM(H282:K282)</f>
        <v>0</v>
      </c>
      <c r="M282" s="467"/>
    </row>
    <row r="283" spans="5:13" s="461" customFormat="1" x14ac:dyDescent="0.25">
      <c r="E283" s="464" t="s">
        <v>923</v>
      </c>
      <c r="F283" s="462"/>
      <c r="G283" s="462"/>
      <c r="H283" s="462">
        <f>H282</f>
        <v>0</v>
      </c>
      <c r="I283" s="462">
        <f>I282+H283</f>
        <v>0</v>
      </c>
      <c r="J283" s="462">
        <f t="shared" ref="J283:K283" si="90">J282+I283</f>
        <v>0</v>
      </c>
      <c r="K283" s="462">
        <f t="shared" si="90"/>
        <v>0</v>
      </c>
      <c r="L283" s="462"/>
      <c r="M283" s="467"/>
    </row>
    <row r="284" spans="5:13" s="461" customFormat="1" x14ac:dyDescent="0.25">
      <c r="E284" s="464" t="s">
        <v>926</v>
      </c>
      <c r="F284" s="465">
        <f>K178</f>
        <v>0</v>
      </c>
      <c r="G284" s="462">
        <f>X153</f>
        <v>3</v>
      </c>
      <c r="H284" s="462">
        <f>ROUND(($F$284/$G$284),0)</f>
        <v>0</v>
      </c>
      <c r="I284" s="462">
        <f t="shared" ref="I284:K284" si="91">ROUND(($F$284/$G$284),0)</f>
        <v>0</v>
      </c>
      <c r="J284" s="462">
        <f t="shared" si="91"/>
        <v>0</v>
      </c>
      <c r="K284" s="462">
        <f t="shared" si="91"/>
        <v>0</v>
      </c>
      <c r="L284" s="465">
        <f>F284-SUM(H284:K284)</f>
        <v>0</v>
      </c>
      <c r="M284" s="467"/>
    </row>
    <row r="285" spans="5:13" s="461" customFormat="1" x14ac:dyDescent="0.25">
      <c r="E285" s="464" t="s">
        <v>923</v>
      </c>
      <c r="F285" s="462"/>
      <c r="G285" s="462"/>
      <c r="H285" s="462">
        <f>H284</f>
        <v>0</v>
      </c>
      <c r="I285" s="462">
        <f>I284+H285</f>
        <v>0</v>
      </c>
      <c r="J285" s="462">
        <f t="shared" ref="J285:K285" si="92">J284+I285</f>
        <v>0</v>
      </c>
      <c r="K285" s="462">
        <f t="shared" si="92"/>
        <v>0</v>
      </c>
      <c r="L285" s="462"/>
      <c r="M285" s="467"/>
    </row>
    <row r="286" spans="5:13" s="461" customFormat="1" x14ac:dyDescent="0.25">
      <c r="E286" s="462" t="s">
        <v>927</v>
      </c>
      <c r="F286" s="465">
        <f>F276+F278+F280+F282+F284</f>
        <v>0</v>
      </c>
      <c r="G286" s="465"/>
      <c r="H286" s="465">
        <f t="shared" ref="H286:L286" si="93">H276+H278+H280+H282+H284</f>
        <v>0</v>
      </c>
      <c r="I286" s="465">
        <f t="shared" si="93"/>
        <v>0</v>
      </c>
      <c r="J286" s="465">
        <f t="shared" si="93"/>
        <v>0</v>
      </c>
      <c r="K286" s="465">
        <f t="shared" si="93"/>
        <v>0</v>
      </c>
      <c r="L286" s="465">
        <f t="shared" si="93"/>
        <v>0</v>
      </c>
      <c r="M286" s="467"/>
    </row>
    <row r="287" spans="5:13" s="461" customFormat="1" x14ac:dyDescent="0.25">
      <c r="E287" s="464" t="s">
        <v>928</v>
      </c>
      <c r="F287" s="465">
        <f>K208</f>
        <v>0</v>
      </c>
      <c r="G287" s="462">
        <f>X192</f>
        <v>1</v>
      </c>
      <c r="H287" s="462">
        <f>ROUND(($F$287/$G$287),0)</f>
        <v>0</v>
      </c>
      <c r="I287" s="462">
        <f t="shared" ref="I287:K287" si="94">ROUND(($F$287/$G$287),0)</f>
        <v>0</v>
      </c>
      <c r="J287" s="462">
        <f t="shared" si="94"/>
        <v>0</v>
      </c>
      <c r="K287" s="462">
        <f t="shared" si="94"/>
        <v>0</v>
      </c>
      <c r="L287" s="465">
        <f>F287-SUM(H287:K287)</f>
        <v>0</v>
      </c>
      <c r="M287" s="467"/>
    </row>
    <row r="288" spans="5:13" s="461" customFormat="1" x14ac:dyDescent="0.25">
      <c r="E288" s="464" t="s">
        <v>929</v>
      </c>
      <c r="F288" s="465">
        <f>K227</f>
        <v>0</v>
      </c>
      <c r="G288" s="462">
        <f>X211</f>
        <v>10</v>
      </c>
      <c r="H288" s="462">
        <f>ROUND(($F$288/$G$288),0)</f>
        <v>0</v>
      </c>
      <c r="I288" s="462">
        <f t="shared" ref="I288:K288" si="95">ROUND(($F$288/$G$288),0)</f>
        <v>0</v>
      </c>
      <c r="J288" s="462">
        <f t="shared" si="95"/>
        <v>0</v>
      </c>
      <c r="K288" s="462">
        <f t="shared" si="95"/>
        <v>0</v>
      </c>
      <c r="L288" s="465">
        <f>F288-SUM(H288:K288)</f>
        <v>0</v>
      </c>
      <c r="M288" s="467"/>
    </row>
    <row r="289" spans="5:13" s="461" customFormat="1" x14ac:dyDescent="0.25">
      <c r="E289" s="464" t="s">
        <v>930</v>
      </c>
      <c r="F289" s="462"/>
      <c r="G289" s="462"/>
      <c r="H289" s="462">
        <f>H288</f>
        <v>0</v>
      </c>
      <c r="I289" s="462">
        <f>I288+H289</f>
        <v>0</v>
      </c>
      <c r="J289" s="462">
        <f t="shared" ref="J289:K289" si="96">J288+I289</f>
        <v>0</v>
      </c>
      <c r="K289" s="462">
        <f t="shared" si="96"/>
        <v>0</v>
      </c>
      <c r="L289" s="462"/>
      <c r="M289" s="467"/>
    </row>
    <row r="290" spans="5:13" s="461" customFormat="1" x14ac:dyDescent="0.25">
      <c r="E290" s="464" t="s">
        <v>931</v>
      </c>
      <c r="F290" s="465">
        <f>K239</f>
        <v>0</v>
      </c>
      <c r="G290" s="462">
        <f>X230</f>
        <v>5</v>
      </c>
      <c r="H290" s="462">
        <f>ROUND(($F$290/$G$290),0)</f>
        <v>0</v>
      </c>
      <c r="I290" s="462">
        <f t="shared" ref="I290:K290" si="97">ROUND(($F$290/$G$290),0)</f>
        <v>0</v>
      </c>
      <c r="J290" s="462">
        <f t="shared" si="97"/>
        <v>0</v>
      </c>
      <c r="K290" s="462">
        <f t="shared" si="97"/>
        <v>0</v>
      </c>
      <c r="L290" s="465">
        <f>F290-SUM(H290:K290)</f>
        <v>0</v>
      </c>
      <c r="M290" s="467"/>
    </row>
    <row r="291" spans="5:13" s="461" customFormat="1" x14ac:dyDescent="0.25">
      <c r="E291" s="464" t="s">
        <v>932</v>
      </c>
      <c r="F291" s="462"/>
      <c r="G291" s="462"/>
      <c r="H291" s="462">
        <f>H290</f>
        <v>0</v>
      </c>
      <c r="I291" s="462">
        <f>I290+H291</f>
        <v>0</v>
      </c>
      <c r="J291" s="462">
        <f t="shared" ref="J291:K291" si="98">J290+I291</f>
        <v>0</v>
      </c>
      <c r="K291" s="462">
        <f t="shared" si="98"/>
        <v>0</v>
      </c>
      <c r="L291" s="462"/>
      <c r="M291" s="467"/>
    </row>
    <row r="292" spans="5:13" s="461" customFormat="1" x14ac:dyDescent="0.25">
      <c r="E292" s="464" t="s">
        <v>933</v>
      </c>
      <c r="F292" s="465">
        <f>K245</f>
        <v>0</v>
      </c>
      <c r="G292" s="462">
        <f>X242</f>
        <v>5</v>
      </c>
      <c r="H292" s="462">
        <f>ROUND(($F$292/$G$292),0)</f>
        <v>0</v>
      </c>
      <c r="I292" s="462">
        <f t="shared" ref="I292:K292" si="99">ROUND(($F$292/$G$292),0)</f>
        <v>0</v>
      </c>
      <c r="J292" s="462">
        <f t="shared" si="99"/>
        <v>0</v>
      </c>
      <c r="K292" s="462">
        <f t="shared" si="99"/>
        <v>0</v>
      </c>
      <c r="L292" s="465">
        <f>F292-SUM(H292:K292)</f>
        <v>0</v>
      </c>
      <c r="M292" s="467"/>
    </row>
    <row r="293" spans="5:13" s="461" customFormat="1" x14ac:dyDescent="0.25">
      <c r="E293" s="464" t="s">
        <v>934</v>
      </c>
      <c r="F293" s="462"/>
      <c r="G293" s="462"/>
      <c r="H293" s="462">
        <f>H292</f>
        <v>0</v>
      </c>
      <c r="I293" s="462">
        <f>I292+H293</f>
        <v>0</v>
      </c>
      <c r="J293" s="462">
        <f t="shared" ref="J293:K293" si="100">J292+I293</f>
        <v>0</v>
      </c>
      <c r="K293" s="462">
        <f t="shared" si="100"/>
        <v>0</v>
      </c>
      <c r="L293" s="462"/>
      <c r="M293" s="467"/>
    </row>
    <row r="294" spans="5:13" s="461" customFormat="1" x14ac:dyDescent="0.25">
      <c r="E294" s="467"/>
      <c r="F294" s="467"/>
      <c r="G294" s="467"/>
      <c r="H294" s="467"/>
      <c r="I294" s="467"/>
      <c r="J294" s="467"/>
      <c r="K294" s="467"/>
      <c r="L294" s="467"/>
      <c r="M294" s="467"/>
    </row>
    <row r="295" spans="5:13" s="461" customFormat="1" x14ac:dyDescent="0.25">
      <c r="E295" s="467"/>
      <c r="F295" s="467"/>
      <c r="G295" s="467"/>
      <c r="H295" s="467"/>
      <c r="I295" s="467"/>
      <c r="J295" s="467"/>
      <c r="K295" s="467"/>
      <c r="L295" s="467"/>
      <c r="M295" s="467"/>
    </row>
    <row r="296" spans="5:13" s="461" customFormat="1" x14ac:dyDescent="0.25">
      <c r="E296" s="670" t="s">
        <v>938</v>
      </c>
      <c r="F296" s="670"/>
      <c r="G296" s="670"/>
      <c r="H296" s="670"/>
      <c r="I296" s="670"/>
      <c r="J296" s="670"/>
      <c r="K296" s="670"/>
      <c r="L296" s="467"/>
      <c r="M296" s="467"/>
    </row>
    <row r="297" spans="5:13" s="461" customFormat="1" x14ac:dyDescent="0.25">
      <c r="E297" s="462" t="s">
        <v>918</v>
      </c>
      <c r="F297" s="463" t="str">
        <f>BASES!E11</f>
        <v>AÑO 2</v>
      </c>
      <c r="G297" s="462" t="s">
        <v>889</v>
      </c>
      <c r="H297" s="463" t="str">
        <f>BASES!F11</f>
        <v>AÑO 3</v>
      </c>
      <c r="I297" s="463" t="str">
        <f>BASES!G11</f>
        <v>AÑO 4</v>
      </c>
      <c r="J297" s="463" t="str">
        <f>BASES!H11</f>
        <v>AÑO 5</v>
      </c>
      <c r="K297" s="462" t="s">
        <v>937</v>
      </c>
      <c r="L297" s="467"/>
      <c r="M297" s="467"/>
    </row>
    <row r="298" spans="5:13" s="461" customFormat="1" x14ac:dyDescent="0.25">
      <c r="E298" s="464" t="s">
        <v>922</v>
      </c>
      <c r="F298" s="465">
        <f>N44</f>
        <v>0</v>
      </c>
      <c r="G298" s="462">
        <f>X37</f>
        <v>20</v>
      </c>
      <c r="H298" s="462">
        <f>ROUND(($F$298/$G$298),0)</f>
        <v>0</v>
      </c>
      <c r="I298" s="462">
        <f t="shared" ref="I298:J298" si="101">ROUND(($F$298/$G$298),0)</f>
        <v>0</v>
      </c>
      <c r="J298" s="462">
        <f t="shared" si="101"/>
        <v>0</v>
      </c>
      <c r="K298" s="465">
        <f>F298-SUM(H298:J298)</f>
        <v>0</v>
      </c>
      <c r="L298" s="467"/>
      <c r="M298" s="467"/>
    </row>
    <row r="299" spans="5:13" s="461" customFormat="1" x14ac:dyDescent="0.25">
      <c r="E299" s="464" t="s">
        <v>923</v>
      </c>
      <c r="F299" s="462"/>
      <c r="G299" s="462"/>
      <c r="H299" s="462">
        <f>H298</f>
        <v>0</v>
      </c>
      <c r="I299" s="462">
        <f>I298+H299</f>
        <v>0</v>
      </c>
      <c r="J299" s="462">
        <f>J298+I299</f>
        <v>0</v>
      </c>
      <c r="K299" s="462"/>
      <c r="L299" s="467"/>
      <c r="M299" s="467"/>
    </row>
    <row r="300" spans="5:13" s="461" customFormat="1" x14ac:dyDescent="0.25">
      <c r="E300" s="464" t="s">
        <v>924</v>
      </c>
      <c r="F300" s="465">
        <f>N87</f>
        <v>0</v>
      </c>
      <c r="G300" s="462">
        <f>X47</f>
        <v>10</v>
      </c>
      <c r="H300" s="462">
        <f>ROUND(($F$300/$G$300),0)</f>
        <v>0</v>
      </c>
      <c r="I300" s="462">
        <f t="shared" ref="I300:J300" si="102">ROUND(($F$300/$G$300),0)</f>
        <v>0</v>
      </c>
      <c r="J300" s="462">
        <f t="shared" si="102"/>
        <v>0</v>
      </c>
      <c r="K300" s="465">
        <f>F300-SUM(H300:J300)</f>
        <v>0</v>
      </c>
      <c r="L300" s="467"/>
      <c r="M300" s="467"/>
    </row>
    <row r="301" spans="5:13" s="461" customFormat="1" x14ac:dyDescent="0.25">
      <c r="E301" s="464" t="s">
        <v>923</v>
      </c>
      <c r="F301" s="462"/>
      <c r="G301" s="462"/>
      <c r="H301" s="462">
        <f>H300</f>
        <v>0</v>
      </c>
      <c r="I301" s="462">
        <f>I300+H301</f>
        <v>0</v>
      </c>
      <c r="J301" s="462">
        <f>J300+I301</f>
        <v>0</v>
      </c>
      <c r="K301" s="462"/>
      <c r="L301" s="467"/>
      <c r="M301" s="467"/>
    </row>
    <row r="302" spans="5:13" s="461" customFormat="1" x14ac:dyDescent="0.25">
      <c r="E302" s="464" t="s">
        <v>893</v>
      </c>
      <c r="F302" s="465">
        <f>N140</f>
        <v>0</v>
      </c>
      <c r="G302" s="462">
        <f>X90</f>
        <v>5</v>
      </c>
      <c r="H302" s="462">
        <f>ROUND(($F$302/$G$302),0)</f>
        <v>0</v>
      </c>
      <c r="I302" s="462">
        <f t="shared" ref="I302:J302" si="103">ROUND(($F$302/$G$302),0)</f>
        <v>0</v>
      </c>
      <c r="J302" s="462">
        <f t="shared" si="103"/>
        <v>0</v>
      </c>
      <c r="K302" s="465">
        <f>F302-SUM(H302:J302)</f>
        <v>0</v>
      </c>
      <c r="L302" s="467"/>
      <c r="M302" s="467"/>
    </row>
    <row r="303" spans="5:13" s="461" customFormat="1" x14ac:dyDescent="0.25">
      <c r="E303" s="464" t="s">
        <v>923</v>
      </c>
      <c r="F303" s="462"/>
      <c r="G303" s="462"/>
      <c r="H303" s="462">
        <f>H302</f>
        <v>0</v>
      </c>
      <c r="I303" s="462">
        <f>I302+H303</f>
        <v>0</v>
      </c>
      <c r="J303" s="462">
        <f>J302+I303</f>
        <v>0</v>
      </c>
      <c r="K303" s="462"/>
      <c r="L303" s="467"/>
      <c r="M303" s="467"/>
    </row>
    <row r="304" spans="5:13" s="461" customFormat="1" x14ac:dyDescent="0.25">
      <c r="E304" s="464" t="s">
        <v>925</v>
      </c>
      <c r="F304" s="465">
        <f>N150</f>
        <v>0</v>
      </c>
      <c r="G304" s="462">
        <f>X143</f>
        <v>5</v>
      </c>
      <c r="H304" s="462">
        <f>ROUND(($F$304/$G$304),0)</f>
        <v>0</v>
      </c>
      <c r="I304" s="462">
        <f t="shared" ref="I304:J304" si="104">ROUND(($F$304/$G$304),0)</f>
        <v>0</v>
      </c>
      <c r="J304" s="462">
        <f t="shared" si="104"/>
        <v>0</v>
      </c>
      <c r="K304" s="465">
        <f>F304-SUM(H304:J304)</f>
        <v>0</v>
      </c>
      <c r="L304" s="467"/>
      <c r="M304" s="467"/>
    </row>
    <row r="305" spans="5:13" s="461" customFormat="1" x14ac:dyDescent="0.25">
      <c r="E305" s="464" t="s">
        <v>923</v>
      </c>
      <c r="F305" s="462"/>
      <c r="G305" s="462"/>
      <c r="H305" s="462">
        <f>H304</f>
        <v>0</v>
      </c>
      <c r="I305" s="462">
        <f>I304+H305</f>
        <v>0</v>
      </c>
      <c r="J305" s="462">
        <f>J304+I305</f>
        <v>0</v>
      </c>
      <c r="K305" s="462"/>
      <c r="L305" s="467"/>
      <c r="M305" s="467"/>
    </row>
    <row r="306" spans="5:13" s="461" customFormat="1" x14ac:dyDescent="0.25">
      <c r="E306" s="464" t="s">
        <v>926</v>
      </c>
      <c r="F306" s="465">
        <f>N178</f>
        <v>0</v>
      </c>
      <c r="G306" s="462">
        <f>X153</f>
        <v>3</v>
      </c>
      <c r="H306" s="462">
        <f>ROUND(($F$306/$G$306),0)</f>
        <v>0</v>
      </c>
      <c r="I306" s="462">
        <f t="shared" ref="I306:J306" si="105">ROUND(($F$306/$G$306),0)</f>
        <v>0</v>
      </c>
      <c r="J306" s="462">
        <f t="shared" si="105"/>
        <v>0</v>
      </c>
      <c r="K306" s="465">
        <f>F306-SUM(H306:J306)</f>
        <v>0</v>
      </c>
      <c r="L306" s="467"/>
      <c r="M306" s="467"/>
    </row>
    <row r="307" spans="5:13" s="461" customFormat="1" x14ac:dyDescent="0.25">
      <c r="E307" s="464" t="s">
        <v>923</v>
      </c>
      <c r="F307" s="462"/>
      <c r="G307" s="462"/>
      <c r="H307" s="462">
        <f>H306</f>
        <v>0</v>
      </c>
      <c r="I307" s="462">
        <f>I306+H307</f>
        <v>0</v>
      </c>
      <c r="J307" s="462">
        <f>J306+I307</f>
        <v>0</v>
      </c>
      <c r="K307" s="462"/>
      <c r="L307" s="467"/>
      <c r="M307" s="467"/>
    </row>
    <row r="308" spans="5:13" s="461" customFormat="1" x14ac:dyDescent="0.25">
      <c r="E308" s="462" t="s">
        <v>927</v>
      </c>
      <c r="F308" s="465">
        <f>F298+F300+F302+F304+F306</f>
        <v>0</v>
      </c>
      <c r="G308" s="465"/>
      <c r="H308" s="465">
        <f t="shared" ref="H308:K308" si="106">H298+H300+H302+H304+H306</f>
        <v>0</v>
      </c>
      <c r="I308" s="465">
        <f t="shared" si="106"/>
        <v>0</v>
      </c>
      <c r="J308" s="465">
        <f t="shared" si="106"/>
        <v>0</v>
      </c>
      <c r="K308" s="465">
        <f t="shared" si="106"/>
        <v>0</v>
      </c>
      <c r="L308" s="467"/>
      <c r="M308" s="467"/>
    </row>
    <row r="309" spans="5:13" s="461" customFormat="1" x14ac:dyDescent="0.25">
      <c r="E309" s="464" t="s">
        <v>928</v>
      </c>
      <c r="F309" s="465">
        <f>N208</f>
        <v>0</v>
      </c>
      <c r="G309" s="462">
        <f>X192</f>
        <v>1</v>
      </c>
      <c r="H309" s="462">
        <f>ROUND(($F$309/$G$309),0)</f>
        <v>0</v>
      </c>
      <c r="I309" s="462">
        <f t="shared" ref="I309:J309" si="107">ROUND(($F$309/$G$309),0)</f>
        <v>0</v>
      </c>
      <c r="J309" s="462">
        <f t="shared" si="107"/>
        <v>0</v>
      </c>
      <c r="K309" s="465">
        <f>F309-SUM(H309:J309)</f>
        <v>0</v>
      </c>
      <c r="L309" s="467"/>
      <c r="M309" s="467"/>
    </row>
    <row r="310" spans="5:13" s="461" customFormat="1" x14ac:dyDescent="0.25">
      <c r="E310" s="464" t="s">
        <v>929</v>
      </c>
      <c r="F310" s="465">
        <f>N227</f>
        <v>0</v>
      </c>
      <c r="G310" s="462">
        <f>X211</f>
        <v>10</v>
      </c>
      <c r="H310" s="462">
        <f>ROUND(($F$310/$G$310),0)</f>
        <v>0</v>
      </c>
      <c r="I310" s="462">
        <f t="shared" ref="I310:J310" si="108">ROUND(($F$310/$G$310),0)</f>
        <v>0</v>
      </c>
      <c r="J310" s="462">
        <f t="shared" si="108"/>
        <v>0</v>
      </c>
      <c r="K310" s="465">
        <f>F310-SUM(H310:J310)</f>
        <v>0</v>
      </c>
      <c r="L310" s="467"/>
      <c r="M310" s="467"/>
    </row>
    <row r="311" spans="5:13" s="461" customFormat="1" x14ac:dyDescent="0.25">
      <c r="E311" s="464" t="s">
        <v>930</v>
      </c>
      <c r="F311" s="462"/>
      <c r="G311" s="462"/>
      <c r="H311" s="462">
        <f>H310</f>
        <v>0</v>
      </c>
      <c r="I311" s="462">
        <f>I310+H311</f>
        <v>0</v>
      </c>
      <c r="J311" s="462">
        <f>J310+I311</f>
        <v>0</v>
      </c>
      <c r="K311" s="462"/>
      <c r="L311" s="467"/>
      <c r="M311" s="467"/>
    </row>
    <row r="312" spans="5:13" s="461" customFormat="1" x14ac:dyDescent="0.25">
      <c r="E312" s="464" t="s">
        <v>931</v>
      </c>
      <c r="F312" s="465">
        <f>N237</f>
        <v>0</v>
      </c>
      <c r="G312" s="462">
        <f>X230</f>
        <v>5</v>
      </c>
      <c r="H312" s="462">
        <f>ROUND(($F$312/$G$312),0)</f>
        <v>0</v>
      </c>
      <c r="I312" s="462">
        <f t="shared" ref="I312:J312" si="109">ROUND(($F$312/$G$312),0)</f>
        <v>0</v>
      </c>
      <c r="J312" s="462">
        <f t="shared" si="109"/>
        <v>0</v>
      </c>
      <c r="K312" s="465">
        <f>F312-SUM(H312:J312)</f>
        <v>0</v>
      </c>
      <c r="L312" s="467"/>
      <c r="M312" s="467"/>
    </row>
    <row r="313" spans="5:13" s="461" customFormat="1" x14ac:dyDescent="0.25">
      <c r="E313" s="464" t="s">
        <v>932</v>
      </c>
      <c r="F313" s="462"/>
      <c r="G313" s="462"/>
      <c r="H313" s="462">
        <f>H312</f>
        <v>0</v>
      </c>
      <c r="I313" s="462">
        <f>I312+H313</f>
        <v>0</v>
      </c>
      <c r="J313" s="462">
        <f>J312+I313</f>
        <v>0</v>
      </c>
      <c r="K313" s="462"/>
      <c r="L313" s="467"/>
      <c r="M313" s="467"/>
    </row>
    <row r="314" spans="5:13" s="461" customFormat="1" x14ac:dyDescent="0.25">
      <c r="E314" s="464" t="s">
        <v>933</v>
      </c>
      <c r="F314" s="465">
        <f>N245</f>
        <v>0</v>
      </c>
      <c r="G314" s="462">
        <f>X242</f>
        <v>5</v>
      </c>
      <c r="H314" s="462">
        <f>ROUND(($F$314/$G$314),0)</f>
        <v>0</v>
      </c>
      <c r="I314" s="462">
        <f t="shared" ref="I314:J314" si="110">ROUND(($F$314/$G$314),0)</f>
        <v>0</v>
      </c>
      <c r="J314" s="462">
        <f t="shared" si="110"/>
        <v>0</v>
      </c>
      <c r="K314" s="465">
        <f>F314-SUM(H314:J314)</f>
        <v>0</v>
      </c>
      <c r="L314" s="467"/>
      <c r="M314" s="467"/>
    </row>
    <row r="315" spans="5:13" s="461" customFormat="1" x14ac:dyDescent="0.25">
      <c r="E315" s="464" t="s">
        <v>934</v>
      </c>
      <c r="F315" s="462"/>
      <c r="G315" s="462"/>
      <c r="H315" s="462">
        <f>H314</f>
        <v>0</v>
      </c>
      <c r="I315" s="462">
        <f>I314+H315</f>
        <v>0</v>
      </c>
      <c r="J315" s="462">
        <f>J314+I315</f>
        <v>0</v>
      </c>
      <c r="K315" s="462"/>
      <c r="L315" s="467"/>
      <c r="M315" s="467"/>
    </row>
    <row r="316" spans="5:13" s="461" customFormat="1" x14ac:dyDescent="0.25">
      <c r="E316" s="467"/>
      <c r="F316" s="467"/>
      <c r="G316" s="467"/>
      <c r="H316" s="467"/>
      <c r="I316" s="467"/>
      <c r="J316" s="467"/>
      <c r="K316" s="467"/>
      <c r="L316" s="467"/>
      <c r="M316" s="467"/>
    </row>
    <row r="317" spans="5:13" s="461" customFormat="1" x14ac:dyDescent="0.25">
      <c r="E317" s="467"/>
      <c r="F317" s="467"/>
      <c r="G317" s="467"/>
      <c r="H317" s="467"/>
      <c r="I317" s="467"/>
      <c r="J317" s="467"/>
      <c r="K317" s="467"/>
      <c r="L317" s="467"/>
      <c r="M317" s="467"/>
    </row>
    <row r="318" spans="5:13" s="461" customFormat="1" x14ac:dyDescent="0.25">
      <c r="E318" s="670" t="s">
        <v>939</v>
      </c>
      <c r="F318" s="670"/>
      <c r="G318" s="670"/>
      <c r="H318" s="670"/>
      <c r="I318" s="670"/>
      <c r="J318" s="670"/>
      <c r="K318" s="467"/>
      <c r="L318" s="467"/>
      <c r="M318" s="467"/>
    </row>
    <row r="319" spans="5:13" s="461" customFormat="1" x14ac:dyDescent="0.25">
      <c r="E319" s="462" t="s">
        <v>936</v>
      </c>
      <c r="F319" s="463" t="str">
        <f>BASES!F11</f>
        <v>AÑO 3</v>
      </c>
      <c r="G319" s="462" t="s">
        <v>889</v>
      </c>
      <c r="H319" s="463" t="str">
        <f>BASES!G11</f>
        <v>AÑO 4</v>
      </c>
      <c r="I319" s="463" t="str">
        <f>BASES!H11</f>
        <v>AÑO 5</v>
      </c>
      <c r="J319" s="462" t="s">
        <v>937</v>
      </c>
      <c r="K319" s="467"/>
      <c r="L319" s="467"/>
      <c r="M319" s="467"/>
    </row>
    <row r="320" spans="5:13" s="461" customFormat="1" x14ac:dyDescent="0.25">
      <c r="E320" s="464" t="s">
        <v>922</v>
      </c>
      <c r="F320" s="465">
        <f>Q44</f>
        <v>0</v>
      </c>
      <c r="G320" s="462">
        <f>X37</f>
        <v>20</v>
      </c>
      <c r="H320" s="462">
        <f>ROUND(($F$320/$G$320),0)</f>
        <v>0</v>
      </c>
      <c r="I320" s="462">
        <f>ROUND(($F$320/$G$320),0)</f>
        <v>0</v>
      </c>
      <c r="J320" s="465">
        <f>F320-SUM(H320:I320)</f>
        <v>0</v>
      </c>
      <c r="K320" s="467"/>
      <c r="L320" s="467"/>
      <c r="M320" s="467"/>
    </row>
    <row r="321" spans="5:13" s="461" customFormat="1" x14ac:dyDescent="0.25">
      <c r="E321" s="464" t="s">
        <v>923</v>
      </c>
      <c r="F321" s="462"/>
      <c r="G321" s="462"/>
      <c r="H321" s="462">
        <f>H320</f>
        <v>0</v>
      </c>
      <c r="I321" s="462">
        <f>I320+H321</f>
        <v>0</v>
      </c>
      <c r="J321" s="462"/>
      <c r="K321" s="467"/>
      <c r="L321" s="467"/>
      <c r="M321" s="467"/>
    </row>
    <row r="322" spans="5:13" s="461" customFormat="1" x14ac:dyDescent="0.25">
      <c r="E322" s="464" t="s">
        <v>924</v>
      </c>
      <c r="F322" s="465">
        <f>Q87</f>
        <v>0</v>
      </c>
      <c r="G322" s="462">
        <f>X47</f>
        <v>10</v>
      </c>
      <c r="H322" s="462">
        <f>ROUND(($F$322/$G$322),0)</f>
        <v>0</v>
      </c>
      <c r="I322" s="462">
        <f>ROUND(($F$322/$G$322),0)</f>
        <v>0</v>
      </c>
      <c r="J322" s="465">
        <f>F322-SUM(H322:I322)</f>
        <v>0</v>
      </c>
      <c r="K322" s="467"/>
      <c r="L322" s="467"/>
      <c r="M322" s="467"/>
    </row>
    <row r="323" spans="5:13" s="461" customFormat="1" x14ac:dyDescent="0.25">
      <c r="E323" s="464" t="s">
        <v>923</v>
      </c>
      <c r="F323" s="462"/>
      <c r="G323" s="462"/>
      <c r="H323" s="462">
        <f>H322</f>
        <v>0</v>
      </c>
      <c r="I323" s="462">
        <f>I322+H323</f>
        <v>0</v>
      </c>
      <c r="J323" s="462"/>
      <c r="K323" s="467"/>
      <c r="L323" s="467"/>
      <c r="M323" s="467"/>
    </row>
    <row r="324" spans="5:13" s="461" customFormat="1" x14ac:dyDescent="0.25">
      <c r="E324" s="464" t="s">
        <v>893</v>
      </c>
      <c r="F324" s="465">
        <f>Q140</f>
        <v>0</v>
      </c>
      <c r="G324" s="462">
        <f>X90</f>
        <v>5</v>
      </c>
      <c r="H324" s="462">
        <f>ROUND(($F$324/$G$324),0)</f>
        <v>0</v>
      </c>
      <c r="I324" s="462">
        <f>ROUND(($F$324/$G$324),0)</f>
        <v>0</v>
      </c>
      <c r="J324" s="465">
        <f>F324-SUM(H324:I324)</f>
        <v>0</v>
      </c>
      <c r="K324" s="467"/>
      <c r="L324" s="467"/>
      <c r="M324" s="467"/>
    </row>
    <row r="325" spans="5:13" s="461" customFormat="1" x14ac:dyDescent="0.25">
      <c r="E325" s="464" t="s">
        <v>923</v>
      </c>
      <c r="F325" s="462"/>
      <c r="G325" s="462"/>
      <c r="H325" s="462">
        <f>H324</f>
        <v>0</v>
      </c>
      <c r="I325" s="462">
        <f>I324+H325</f>
        <v>0</v>
      </c>
      <c r="J325" s="462"/>
      <c r="K325" s="467"/>
      <c r="L325" s="467"/>
      <c r="M325" s="467"/>
    </row>
    <row r="326" spans="5:13" s="461" customFormat="1" x14ac:dyDescent="0.25">
      <c r="E326" s="464" t="s">
        <v>925</v>
      </c>
      <c r="F326" s="465">
        <f>Q150</f>
        <v>0</v>
      </c>
      <c r="G326" s="462">
        <f>X143</f>
        <v>5</v>
      </c>
      <c r="H326" s="462">
        <f>ROUND(($F$326/$G$326),0)</f>
        <v>0</v>
      </c>
      <c r="I326" s="462">
        <f>ROUND(($F$326/$G$326),0)</f>
        <v>0</v>
      </c>
      <c r="J326" s="465">
        <f>F326-SUM(H326:I326)</f>
        <v>0</v>
      </c>
      <c r="K326" s="467"/>
      <c r="L326" s="467"/>
      <c r="M326" s="467"/>
    </row>
    <row r="327" spans="5:13" s="461" customFormat="1" x14ac:dyDescent="0.25">
      <c r="E327" s="464" t="s">
        <v>923</v>
      </c>
      <c r="F327" s="462"/>
      <c r="G327" s="462"/>
      <c r="H327" s="462">
        <f>H326</f>
        <v>0</v>
      </c>
      <c r="I327" s="462">
        <f>I326+H327</f>
        <v>0</v>
      </c>
      <c r="J327" s="462"/>
      <c r="K327" s="467"/>
      <c r="L327" s="467"/>
      <c r="M327" s="467"/>
    </row>
    <row r="328" spans="5:13" s="461" customFormat="1" x14ac:dyDescent="0.25">
      <c r="E328" s="464" t="s">
        <v>926</v>
      </c>
      <c r="F328" s="465">
        <f>Q178</f>
        <v>0</v>
      </c>
      <c r="G328" s="462">
        <f>X153</f>
        <v>3</v>
      </c>
      <c r="H328" s="462">
        <f>ROUND(($F$328/$G$328),0)</f>
        <v>0</v>
      </c>
      <c r="I328" s="462">
        <f>ROUND(($F$328/$G$328),0)</f>
        <v>0</v>
      </c>
      <c r="J328" s="465">
        <f>F328-SUM(H328:I328)</f>
        <v>0</v>
      </c>
      <c r="K328" s="467"/>
      <c r="L328" s="467"/>
      <c r="M328" s="467"/>
    </row>
    <row r="329" spans="5:13" s="461" customFormat="1" x14ac:dyDescent="0.25">
      <c r="E329" s="464" t="s">
        <v>923</v>
      </c>
      <c r="F329" s="462"/>
      <c r="G329" s="462"/>
      <c r="H329" s="462">
        <f>H328</f>
        <v>0</v>
      </c>
      <c r="I329" s="462">
        <f>I328+H329</f>
        <v>0</v>
      </c>
      <c r="J329" s="462"/>
      <c r="K329" s="467"/>
      <c r="L329" s="467"/>
      <c r="M329" s="467"/>
    </row>
    <row r="330" spans="5:13" s="461" customFormat="1" x14ac:dyDescent="0.25">
      <c r="E330" s="462" t="s">
        <v>927</v>
      </c>
      <c r="F330" s="465">
        <f>F320+F322+F324+F326+F328</f>
        <v>0</v>
      </c>
      <c r="G330" s="465"/>
      <c r="H330" s="465">
        <f t="shared" ref="H330:J330" si="111">H320+H322+H324+H326+H328</f>
        <v>0</v>
      </c>
      <c r="I330" s="465">
        <f t="shared" si="111"/>
        <v>0</v>
      </c>
      <c r="J330" s="465">
        <f t="shared" si="111"/>
        <v>0</v>
      </c>
      <c r="K330" s="467"/>
      <c r="L330" s="467"/>
      <c r="M330" s="467"/>
    </row>
    <row r="331" spans="5:13" s="461" customFormat="1" x14ac:dyDescent="0.25">
      <c r="E331" s="464" t="s">
        <v>928</v>
      </c>
      <c r="F331" s="465">
        <f>Q208</f>
        <v>0</v>
      </c>
      <c r="G331" s="462">
        <f>X192</f>
        <v>1</v>
      </c>
      <c r="H331" s="462">
        <f>ROUND(($F$331/$G$331),0)</f>
        <v>0</v>
      </c>
      <c r="I331" s="462">
        <f>ROUND(($F$331/$G$331),0)</f>
        <v>0</v>
      </c>
      <c r="J331" s="465">
        <f>F331-SUM(H331:I331)</f>
        <v>0</v>
      </c>
      <c r="K331" s="467"/>
      <c r="L331" s="467"/>
      <c r="M331" s="467"/>
    </row>
    <row r="332" spans="5:13" s="461" customFormat="1" x14ac:dyDescent="0.25">
      <c r="E332" s="464" t="s">
        <v>929</v>
      </c>
      <c r="F332" s="465">
        <f>Q227</f>
        <v>0</v>
      </c>
      <c r="G332" s="462">
        <f>X211</f>
        <v>10</v>
      </c>
      <c r="H332" s="462">
        <f>ROUND(($F$332/$G$332),0)</f>
        <v>0</v>
      </c>
      <c r="I332" s="462">
        <f>ROUND(($F$332/$G$332),0)</f>
        <v>0</v>
      </c>
      <c r="J332" s="465">
        <f>F332-SUM(H332:I332)</f>
        <v>0</v>
      </c>
      <c r="K332" s="467"/>
      <c r="L332" s="467"/>
      <c r="M332" s="467"/>
    </row>
    <row r="333" spans="5:13" s="461" customFormat="1" x14ac:dyDescent="0.25">
      <c r="E333" s="464" t="s">
        <v>930</v>
      </c>
      <c r="F333" s="462"/>
      <c r="G333" s="462"/>
      <c r="H333" s="462">
        <f>H332</f>
        <v>0</v>
      </c>
      <c r="I333" s="462">
        <f>I332+H333</f>
        <v>0</v>
      </c>
      <c r="J333" s="462"/>
      <c r="K333" s="467"/>
      <c r="L333" s="467"/>
      <c r="M333" s="467"/>
    </row>
    <row r="334" spans="5:13" s="461" customFormat="1" x14ac:dyDescent="0.25">
      <c r="E334" s="464" t="s">
        <v>931</v>
      </c>
      <c r="F334" s="465">
        <f>Q237</f>
        <v>0</v>
      </c>
      <c r="G334" s="462">
        <f>X230</f>
        <v>5</v>
      </c>
      <c r="H334" s="462">
        <f>ROUND(($F$334/$G$334),0)</f>
        <v>0</v>
      </c>
      <c r="I334" s="462">
        <f>ROUND(($F$334/$G$334),0)</f>
        <v>0</v>
      </c>
      <c r="J334" s="465">
        <f>F334-SUM(H334:I334)</f>
        <v>0</v>
      </c>
      <c r="K334" s="467"/>
      <c r="L334" s="467"/>
      <c r="M334" s="467"/>
    </row>
    <row r="335" spans="5:13" s="461" customFormat="1" x14ac:dyDescent="0.25">
      <c r="E335" s="464" t="s">
        <v>932</v>
      </c>
      <c r="F335" s="462"/>
      <c r="G335" s="462"/>
      <c r="H335" s="462">
        <f>H334</f>
        <v>0</v>
      </c>
      <c r="I335" s="462">
        <f>I334+H335</f>
        <v>0</v>
      </c>
      <c r="J335" s="462"/>
      <c r="K335" s="467"/>
      <c r="L335" s="467"/>
      <c r="M335" s="467"/>
    </row>
    <row r="336" spans="5:13" s="461" customFormat="1" x14ac:dyDescent="0.25">
      <c r="E336" s="464" t="s">
        <v>933</v>
      </c>
      <c r="F336" s="465">
        <f>Q245</f>
        <v>0</v>
      </c>
      <c r="G336" s="462">
        <f>X242</f>
        <v>5</v>
      </c>
      <c r="H336" s="462">
        <f>ROUND(($F$336/$G$336),0)</f>
        <v>0</v>
      </c>
      <c r="I336" s="462">
        <f>ROUND(($F$336/$G$336),0)</f>
        <v>0</v>
      </c>
      <c r="J336" s="465">
        <f>F336-SUM(H336:I336)</f>
        <v>0</v>
      </c>
      <c r="K336" s="467"/>
      <c r="L336" s="467"/>
      <c r="M336" s="467"/>
    </row>
    <row r="337" spans="5:13" s="461" customFormat="1" x14ac:dyDescent="0.25">
      <c r="E337" s="464" t="s">
        <v>934</v>
      </c>
      <c r="F337" s="462"/>
      <c r="G337" s="462"/>
      <c r="H337" s="462">
        <f>H336</f>
        <v>0</v>
      </c>
      <c r="I337" s="462">
        <f>I336+H337</f>
        <v>0</v>
      </c>
      <c r="J337" s="462"/>
      <c r="K337" s="467"/>
      <c r="L337" s="467"/>
      <c r="M337" s="467"/>
    </row>
    <row r="338" spans="5:13" s="461" customFormat="1" x14ac:dyDescent="0.25">
      <c r="E338" s="467"/>
      <c r="F338" s="467"/>
      <c r="G338" s="467"/>
      <c r="H338" s="467"/>
      <c r="I338" s="467"/>
      <c r="J338" s="467"/>
      <c r="K338" s="467"/>
      <c r="L338" s="467"/>
      <c r="M338" s="467"/>
    </row>
    <row r="339" spans="5:13" s="461" customFormat="1" x14ac:dyDescent="0.25">
      <c r="E339" s="467"/>
      <c r="F339" s="467"/>
      <c r="G339" s="467"/>
      <c r="H339" s="467"/>
      <c r="I339" s="467"/>
      <c r="J339" s="467"/>
      <c r="K339" s="467"/>
      <c r="L339" s="467"/>
      <c r="M339" s="467"/>
    </row>
    <row r="340" spans="5:13" s="461" customFormat="1" x14ac:dyDescent="0.25">
      <c r="E340" s="670" t="s">
        <v>940</v>
      </c>
      <c r="F340" s="670"/>
      <c r="G340" s="670"/>
      <c r="H340" s="670"/>
      <c r="I340" s="670"/>
      <c r="J340" s="467"/>
      <c r="K340" s="467"/>
      <c r="L340" s="467"/>
      <c r="M340" s="467"/>
    </row>
    <row r="341" spans="5:13" s="461" customFormat="1" x14ac:dyDescent="0.25">
      <c r="E341" s="462" t="s">
        <v>936</v>
      </c>
      <c r="F341" s="462">
        <v>2023</v>
      </c>
      <c r="G341" s="462" t="s">
        <v>889</v>
      </c>
      <c r="H341" s="462">
        <v>2024</v>
      </c>
      <c r="I341" s="462" t="s">
        <v>937</v>
      </c>
      <c r="J341" s="467"/>
      <c r="K341" s="467"/>
      <c r="L341" s="467"/>
      <c r="M341" s="467"/>
    </row>
    <row r="342" spans="5:13" s="461" customFormat="1" x14ac:dyDescent="0.25">
      <c r="E342" s="464" t="s">
        <v>922</v>
      </c>
      <c r="F342" s="465">
        <f>T44</f>
        <v>0</v>
      </c>
      <c r="G342" s="462">
        <f>X37</f>
        <v>20</v>
      </c>
      <c r="H342" s="462">
        <f>ROUND(($F$342/$G$342),0)</f>
        <v>0</v>
      </c>
      <c r="I342" s="465">
        <f>F342-H342</f>
        <v>0</v>
      </c>
      <c r="J342" s="467"/>
      <c r="K342" s="467"/>
      <c r="L342" s="467"/>
      <c r="M342" s="467"/>
    </row>
    <row r="343" spans="5:13" s="461" customFormat="1" x14ac:dyDescent="0.25">
      <c r="E343" s="464" t="s">
        <v>923</v>
      </c>
      <c r="F343" s="462"/>
      <c r="G343" s="462"/>
      <c r="H343" s="462">
        <f>H342</f>
        <v>0</v>
      </c>
      <c r="I343" s="462"/>
      <c r="J343" s="467"/>
      <c r="K343" s="467"/>
      <c r="L343" s="467"/>
      <c r="M343" s="467"/>
    </row>
    <row r="344" spans="5:13" s="461" customFormat="1" x14ac:dyDescent="0.25">
      <c r="E344" s="464" t="s">
        <v>924</v>
      </c>
      <c r="F344" s="465">
        <f>T87</f>
        <v>0</v>
      </c>
      <c r="G344" s="462">
        <f>X47</f>
        <v>10</v>
      </c>
      <c r="H344" s="462">
        <f>ROUND(($F$344/$G$344),0)</f>
        <v>0</v>
      </c>
      <c r="I344" s="465">
        <f>F344-H344</f>
        <v>0</v>
      </c>
      <c r="J344" s="467"/>
      <c r="K344" s="467"/>
      <c r="L344" s="467"/>
      <c r="M344" s="467"/>
    </row>
    <row r="345" spans="5:13" s="461" customFormat="1" x14ac:dyDescent="0.25">
      <c r="E345" s="464" t="s">
        <v>923</v>
      </c>
      <c r="F345" s="462"/>
      <c r="G345" s="462"/>
      <c r="H345" s="462">
        <f>H344</f>
        <v>0</v>
      </c>
      <c r="I345" s="462"/>
      <c r="J345" s="467"/>
      <c r="K345" s="467"/>
      <c r="L345" s="467"/>
      <c r="M345" s="467"/>
    </row>
    <row r="346" spans="5:13" s="461" customFormat="1" x14ac:dyDescent="0.25">
      <c r="E346" s="464" t="s">
        <v>893</v>
      </c>
      <c r="F346" s="465">
        <f>T140</f>
        <v>0</v>
      </c>
      <c r="G346" s="462">
        <f>X90</f>
        <v>5</v>
      </c>
      <c r="H346" s="462">
        <f>ROUND(($F$346/$G$346),0)</f>
        <v>0</v>
      </c>
      <c r="I346" s="465">
        <f>F346-H346</f>
        <v>0</v>
      </c>
      <c r="J346" s="467"/>
      <c r="K346" s="467"/>
      <c r="L346" s="467"/>
      <c r="M346" s="467"/>
    </row>
    <row r="347" spans="5:13" s="461" customFormat="1" x14ac:dyDescent="0.25">
      <c r="E347" s="464" t="s">
        <v>923</v>
      </c>
      <c r="F347" s="462"/>
      <c r="G347" s="462"/>
      <c r="H347" s="462">
        <f>H346</f>
        <v>0</v>
      </c>
      <c r="I347" s="462"/>
      <c r="J347" s="467"/>
      <c r="K347" s="467"/>
      <c r="L347" s="467"/>
      <c r="M347" s="467"/>
    </row>
    <row r="348" spans="5:13" s="461" customFormat="1" x14ac:dyDescent="0.25">
      <c r="E348" s="464" t="s">
        <v>925</v>
      </c>
      <c r="F348" s="465">
        <f>T150</f>
        <v>0</v>
      </c>
      <c r="G348" s="462">
        <f>X143</f>
        <v>5</v>
      </c>
      <c r="H348" s="462">
        <f>ROUND(($F$348/$G$348),0)</f>
        <v>0</v>
      </c>
      <c r="I348" s="465">
        <f>F348-H348</f>
        <v>0</v>
      </c>
      <c r="J348" s="467"/>
      <c r="K348" s="467"/>
      <c r="L348" s="467"/>
      <c r="M348" s="467"/>
    </row>
    <row r="349" spans="5:13" s="461" customFormat="1" x14ac:dyDescent="0.25">
      <c r="E349" s="464" t="s">
        <v>923</v>
      </c>
      <c r="F349" s="462"/>
      <c r="G349" s="462"/>
      <c r="H349" s="462">
        <f>H348</f>
        <v>0</v>
      </c>
      <c r="I349" s="462"/>
      <c r="J349" s="467"/>
      <c r="K349" s="467"/>
      <c r="L349" s="467"/>
      <c r="M349" s="467"/>
    </row>
    <row r="350" spans="5:13" s="461" customFormat="1" x14ac:dyDescent="0.25">
      <c r="E350" s="464" t="s">
        <v>926</v>
      </c>
      <c r="F350" s="465">
        <f>T178</f>
        <v>0</v>
      </c>
      <c r="G350" s="462">
        <f>X153</f>
        <v>3</v>
      </c>
      <c r="H350" s="462">
        <f>ROUND(($F$350/$G$350),0)</f>
        <v>0</v>
      </c>
      <c r="I350" s="465">
        <f>F350-H350</f>
        <v>0</v>
      </c>
      <c r="J350" s="467"/>
      <c r="K350" s="467"/>
      <c r="L350" s="467"/>
      <c r="M350" s="467"/>
    </row>
    <row r="351" spans="5:13" s="461" customFormat="1" x14ac:dyDescent="0.25">
      <c r="E351" s="464" t="s">
        <v>923</v>
      </c>
      <c r="F351" s="462"/>
      <c r="G351" s="462"/>
      <c r="H351" s="462">
        <f>H350</f>
        <v>0</v>
      </c>
      <c r="I351" s="462"/>
      <c r="J351" s="467"/>
      <c r="K351" s="467"/>
      <c r="L351" s="467"/>
      <c r="M351" s="467"/>
    </row>
    <row r="352" spans="5:13" s="461" customFormat="1" x14ac:dyDescent="0.25">
      <c r="E352" s="462" t="s">
        <v>927</v>
      </c>
      <c r="F352" s="465">
        <f>F342+F344+F346+F348+F350</f>
        <v>0</v>
      </c>
      <c r="G352" s="465"/>
      <c r="H352" s="465">
        <f t="shared" ref="H352:I352" si="112">H342+H344+H346+H348+H350</f>
        <v>0</v>
      </c>
      <c r="I352" s="465">
        <f t="shared" si="112"/>
        <v>0</v>
      </c>
      <c r="J352" s="467"/>
      <c r="K352" s="467"/>
      <c r="L352" s="467"/>
      <c r="M352" s="467"/>
    </row>
    <row r="353" spans="5:13" s="461" customFormat="1" x14ac:dyDescent="0.25">
      <c r="E353" s="464" t="s">
        <v>928</v>
      </c>
      <c r="F353" s="465">
        <f>T208</f>
        <v>0</v>
      </c>
      <c r="G353" s="462">
        <f>X192</f>
        <v>1</v>
      </c>
      <c r="H353" s="462">
        <f>ROUND(($F$353/$G$353),0)</f>
        <v>0</v>
      </c>
      <c r="I353" s="465">
        <f>F353-H353</f>
        <v>0</v>
      </c>
      <c r="J353" s="467"/>
      <c r="K353" s="467"/>
      <c r="L353" s="467"/>
      <c r="M353" s="467"/>
    </row>
    <row r="354" spans="5:13" s="461" customFormat="1" x14ac:dyDescent="0.25">
      <c r="E354" s="464" t="s">
        <v>929</v>
      </c>
      <c r="F354" s="465">
        <f>T227</f>
        <v>0</v>
      </c>
      <c r="G354" s="462">
        <f>X211</f>
        <v>10</v>
      </c>
      <c r="H354" s="462">
        <f>ROUND(($F$354/$G$354),0)</f>
        <v>0</v>
      </c>
      <c r="I354" s="465">
        <f>F354-H354</f>
        <v>0</v>
      </c>
      <c r="J354" s="467"/>
      <c r="K354" s="467"/>
      <c r="L354" s="467"/>
      <c r="M354" s="467"/>
    </row>
    <row r="355" spans="5:13" s="461" customFormat="1" x14ac:dyDescent="0.25">
      <c r="E355" s="464" t="s">
        <v>930</v>
      </c>
      <c r="F355" s="462"/>
      <c r="G355" s="462"/>
      <c r="H355" s="462">
        <f>H354</f>
        <v>0</v>
      </c>
      <c r="I355" s="462"/>
      <c r="J355" s="467"/>
      <c r="K355" s="467"/>
      <c r="L355" s="467"/>
      <c r="M355" s="467"/>
    </row>
    <row r="356" spans="5:13" s="461" customFormat="1" x14ac:dyDescent="0.25">
      <c r="E356" s="464" t="s">
        <v>931</v>
      </c>
      <c r="F356" s="465">
        <f>T237</f>
        <v>0</v>
      </c>
      <c r="G356" s="462">
        <f>X230</f>
        <v>5</v>
      </c>
      <c r="H356" s="462">
        <f>ROUND(($F$356/$G$356),0)</f>
        <v>0</v>
      </c>
      <c r="I356" s="465">
        <f>F356-H356</f>
        <v>0</v>
      </c>
      <c r="J356" s="467"/>
      <c r="K356" s="467"/>
      <c r="L356" s="467"/>
      <c r="M356" s="467"/>
    </row>
    <row r="357" spans="5:13" s="461" customFormat="1" x14ac:dyDescent="0.25">
      <c r="E357" s="464" t="s">
        <v>932</v>
      </c>
      <c r="F357" s="462"/>
      <c r="G357" s="462"/>
      <c r="H357" s="462">
        <f>H356</f>
        <v>0</v>
      </c>
      <c r="I357" s="462"/>
      <c r="J357" s="467"/>
      <c r="K357" s="467"/>
      <c r="L357" s="467"/>
      <c r="M357" s="467"/>
    </row>
    <row r="358" spans="5:13" s="461" customFormat="1" x14ac:dyDescent="0.25">
      <c r="E358" s="464" t="s">
        <v>933</v>
      </c>
      <c r="F358" s="465">
        <f>T245</f>
        <v>0</v>
      </c>
      <c r="G358" s="462">
        <f>X242</f>
        <v>5</v>
      </c>
      <c r="H358" s="462">
        <f>ROUND(($F$358/$G$358),0)</f>
        <v>0</v>
      </c>
      <c r="I358" s="465">
        <f>F358-H358</f>
        <v>0</v>
      </c>
      <c r="J358" s="467"/>
      <c r="K358" s="467"/>
      <c r="L358" s="467"/>
      <c r="M358" s="467"/>
    </row>
    <row r="359" spans="5:13" s="461" customFormat="1" x14ac:dyDescent="0.25">
      <c r="E359" s="464" t="s">
        <v>934</v>
      </c>
      <c r="F359" s="462"/>
      <c r="G359" s="462"/>
      <c r="H359" s="462">
        <f>H358</f>
        <v>0</v>
      </c>
      <c r="I359" s="462"/>
      <c r="J359" s="467"/>
      <c r="K359" s="467"/>
      <c r="L359" s="467"/>
      <c r="M359" s="467"/>
    </row>
    <row r="360" spans="5:13" s="461" customFormat="1" x14ac:dyDescent="0.25">
      <c r="E360" s="467"/>
      <c r="F360" s="467"/>
      <c r="G360" s="467"/>
      <c r="H360" s="467"/>
      <c r="I360" s="467"/>
      <c r="J360" s="467"/>
      <c r="K360" s="467"/>
      <c r="L360" s="467"/>
      <c r="M360" s="467"/>
    </row>
    <row r="361" spans="5:13" s="461" customFormat="1" x14ac:dyDescent="0.25">
      <c r="E361" s="467"/>
      <c r="F361" s="467"/>
      <c r="G361" s="467"/>
      <c r="H361" s="467"/>
      <c r="I361" s="467"/>
      <c r="J361" s="467"/>
      <c r="K361" s="467"/>
      <c r="L361" s="467"/>
      <c r="M361" s="467"/>
    </row>
    <row r="362" spans="5:13" s="461" customFormat="1" x14ac:dyDescent="0.25">
      <c r="E362" s="468" t="s">
        <v>941</v>
      </c>
      <c r="F362" s="462" t="s">
        <v>27</v>
      </c>
      <c r="G362" s="463" t="str">
        <f>BASES!D11</f>
        <v>AÑO 1</v>
      </c>
      <c r="H362" s="463" t="str">
        <f>BASES!E11</f>
        <v>AÑO 2</v>
      </c>
      <c r="I362" s="463" t="str">
        <f>BASES!F11</f>
        <v>AÑO 3</v>
      </c>
      <c r="J362" s="463" t="str">
        <f>BASES!G11</f>
        <v>AÑO 4</v>
      </c>
      <c r="K362" s="463" t="str">
        <f>BASES!H11</f>
        <v>AÑO 5</v>
      </c>
      <c r="L362" s="467"/>
      <c r="M362" s="467"/>
    </row>
    <row r="363" spans="5:13" s="461" customFormat="1" x14ac:dyDescent="0.25">
      <c r="E363" s="462" t="s">
        <v>942</v>
      </c>
      <c r="F363" s="465">
        <f>F254</f>
        <v>0</v>
      </c>
      <c r="G363" s="465">
        <f>F363+F276</f>
        <v>0</v>
      </c>
      <c r="H363" s="465">
        <f>G363+F298</f>
        <v>0</v>
      </c>
      <c r="I363" s="465">
        <f>H363+F320</f>
        <v>0</v>
      </c>
      <c r="J363" s="465">
        <f>I363+F342</f>
        <v>0</v>
      </c>
      <c r="K363" s="465">
        <f>J363+W44</f>
        <v>0</v>
      </c>
      <c r="L363" s="467"/>
      <c r="M363" s="467"/>
    </row>
    <row r="364" spans="5:13" s="461" customFormat="1" x14ac:dyDescent="0.25">
      <c r="E364" s="462" t="s">
        <v>943</v>
      </c>
      <c r="F364" s="462">
        <v>0</v>
      </c>
      <c r="G364" s="462">
        <f>-1*H255</f>
        <v>0</v>
      </c>
      <c r="H364" s="462">
        <f>-1*(I255+H277)</f>
        <v>0</v>
      </c>
      <c r="I364" s="462">
        <f>-1*(J255+I277+H299)</f>
        <v>0</v>
      </c>
      <c r="J364" s="462">
        <f>-1*(K255+J277+I299+H321)</f>
        <v>0</v>
      </c>
      <c r="K364" s="462">
        <f>-1*(L255+K277+J299+I321+H343)</f>
        <v>0</v>
      </c>
      <c r="L364" s="467"/>
      <c r="M364" s="467"/>
    </row>
    <row r="365" spans="5:13" s="461" customFormat="1" x14ac:dyDescent="0.25">
      <c r="E365" s="462" t="s">
        <v>944</v>
      </c>
      <c r="F365" s="462">
        <v>0</v>
      </c>
      <c r="G365" s="462">
        <f>H254</f>
        <v>0</v>
      </c>
      <c r="H365" s="462">
        <f>I254+H276</f>
        <v>0</v>
      </c>
      <c r="I365" s="462">
        <f>J254+I276+H298</f>
        <v>0</v>
      </c>
      <c r="J365" s="462">
        <f>K254+J276+I298+H320</f>
        <v>0</v>
      </c>
      <c r="K365" s="462">
        <f>L254+K276+J298+I320+H342</f>
        <v>0</v>
      </c>
      <c r="L365" s="467"/>
      <c r="M365" s="467"/>
    </row>
    <row r="366" spans="5:13" s="461" customFormat="1" x14ac:dyDescent="0.25">
      <c r="E366" s="467"/>
      <c r="F366" s="467"/>
      <c r="G366" s="467"/>
      <c r="H366" s="467"/>
      <c r="I366" s="467"/>
      <c r="J366" s="467"/>
      <c r="K366" s="467"/>
      <c r="L366" s="467"/>
      <c r="M366" s="467"/>
    </row>
    <row r="367" spans="5:13" s="461" customFormat="1" x14ac:dyDescent="0.25">
      <c r="E367" s="468" t="s">
        <v>945</v>
      </c>
      <c r="F367" s="462" t="str">
        <f>F362</f>
        <v>AÑO 0</v>
      </c>
      <c r="G367" s="462" t="str">
        <f t="shared" ref="G367:K367" si="113">G362</f>
        <v>AÑO 1</v>
      </c>
      <c r="H367" s="462" t="str">
        <f t="shared" si="113"/>
        <v>AÑO 2</v>
      </c>
      <c r="I367" s="462" t="str">
        <f t="shared" si="113"/>
        <v>AÑO 3</v>
      </c>
      <c r="J367" s="462" t="str">
        <f t="shared" si="113"/>
        <v>AÑO 4</v>
      </c>
      <c r="K367" s="462" t="str">
        <f t="shared" si="113"/>
        <v>AÑO 5</v>
      </c>
      <c r="L367" s="467"/>
      <c r="M367" s="467"/>
    </row>
    <row r="368" spans="5:13" s="461" customFormat="1" x14ac:dyDescent="0.25">
      <c r="E368" s="462" t="s">
        <v>942</v>
      </c>
      <c r="F368" s="465">
        <f>F256</f>
        <v>0</v>
      </c>
      <c r="G368" s="465">
        <f>F368+F278</f>
        <v>0</v>
      </c>
      <c r="H368" s="465">
        <f>G368+F300</f>
        <v>0</v>
      </c>
      <c r="I368" s="465">
        <f>H368+F322</f>
        <v>0</v>
      </c>
      <c r="J368" s="465">
        <f>I368+F344</f>
        <v>0</v>
      </c>
      <c r="K368" s="465">
        <f>J368+W87</f>
        <v>0</v>
      </c>
      <c r="L368" s="467"/>
      <c r="M368" s="467"/>
    </row>
    <row r="369" spans="5:13" s="461" customFormat="1" x14ac:dyDescent="0.25">
      <c r="E369" s="462" t="s">
        <v>943</v>
      </c>
      <c r="F369" s="462">
        <v>0</v>
      </c>
      <c r="G369" s="462">
        <f>-1*(H257)</f>
        <v>0</v>
      </c>
      <c r="H369" s="462">
        <f>-1*(I257+H279)</f>
        <v>0</v>
      </c>
      <c r="I369" s="462">
        <f>-1*(J257+I279+H301)</f>
        <v>0</v>
      </c>
      <c r="J369" s="462">
        <f>-1*(K257+J279+I301+H323)</f>
        <v>0</v>
      </c>
      <c r="K369" s="462">
        <f>-1*(L257+K279+J301+I323+H345)</f>
        <v>0</v>
      </c>
      <c r="L369" s="467"/>
      <c r="M369" s="467"/>
    </row>
    <row r="370" spans="5:13" s="461" customFormat="1" x14ac:dyDescent="0.25">
      <c r="E370" s="462" t="s">
        <v>944</v>
      </c>
      <c r="F370" s="462">
        <v>0</v>
      </c>
      <c r="G370" s="462">
        <f>H256</f>
        <v>0</v>
      </c>
      <c r="H370" s="462">
        <f>I256+H278</f>
        <v>0</v>
      </c>
      <c r="I370" s="462">
        <f>J256+I278+H300</f>
        <v>0</v>
      </c>
      <c r="J370" s="462">
        <f>K256+J278+I300+H322</f>
        <v>0</v>
      </c>
      <c r="K370" s="462">
        <f>L256+K278+J300+I322+H344</f>
        <v>0</v>
      </c>
      <c r="L370" s="467"/>
      <c r="M370" s="467"/>
    </row>
    <row r="371" spans="5:13" s="461" customFormat="1" x14ac:dyDescent="0.25">
      <c r="E371" s="467"/>
      <c r="F371" s="467"/>
      <c r="G371" s="467"/>
      <c r="H371" s="467"/>
      <c r="I371" s="467"/>
      <c r="J371" s="467"/>
      <c r="K371" s="467"/>
      <c r="L371" s="467"/>
      <c r="M371" s="467"/>
    </row>
    <row r="372" spans="5:13" s="461" customFormat="1" x14ac:dyDescent="0.25">
      <c r="E372" s="468" t="s">
        <v>946</v>
      </c>
      <c r="F372" s="462" t="str">
        <f>F367</f>
        <v>AÑO 0</v>
      </c>
      <c r="G372" s="462" t="str">
        <f t="shared" ref="G372:K372" si="114">G367</f>
        <v>AÑO 1</v>
      </c>
      <c r="H372" s="462" t="str">
        <f t="shared" si="114"/>
        <v>AÑO 2</v>
      </c>
      <c r="I372" s="462" t="str">
        <f t="shared" si="114"/>
        <v>AÑO 3</v>
      </c>
      <c r="J372" s="462" t="str">
        <f t="shared" si="114"/>
        <v>AÑO 4</v>
      </c>
      <c r="K372" s="462" t="str">
        <f t="shared" si="114"/>
        <v>AÑO 5</v>
      </c>
      <c r="L372" s="467"/>
      <c r="M372" s="467"/>
    </row>
    <row r="373" spans="5:13" s="461" customFormat="1" x14ac:dyDescent="0.25">
      <c r="E373" s="462" t="s">
        <v>942</v>
      </c>
      <c r="F373" s="465">
        <f>F258</f>
        <v>0</v>
      </c>
      <c r="G373" s="465">
        <f>F373+F280</f>
        <v>0</v>
      </c>
      <c r="H373" s="465">
        <f>G373+F302</f>
        <v>0</v>
      </c>
      <c r="I373" s="465">
        <f>H373+F324</f>
        <v>0</v>
      </c>
      <c r="J373" s="465">
        <f>I373+F346</f>
        <v>0</v>
      </c>
      <c r="K373" s="465">
        <f>J373+W140</f>
        <v>0</v>
      </c>
      <c r="L373" s="467"/>
      <c r="M373" s="467"/>
    </row>
    <row r="374" spans="5:13" s="461" customFormat="1" x14ac:dyDescent="0.25">
      <c r="E374" s="462" t="s">
        <v>943</v>
      </c>
      <c r="F374" s="462">
        <v>0</v>
      </c>
      <c r="G374" s="462">
        <f>-1*(H259)</f>
        <v>0</v>
      </c>
      <c r="H374" s="462">
        <f>-1*(I259+H281)</f>
        <v>0</v>
      </c>
      <c r="I374" s="462">
        <f>-1*(J259+I281+H303)</f>
        <v>0</v>
      </c>
      <c r="J374" s="462">
        <f>-1*(K259+J281+I303+H325)</f>
        <v>0</v>
      </c>
      <c r="K374" s="462">
        <f>-1*(L259+K281+J303+I325+H347)</f>
        <v>0</v>
      </c>
      <c r="L374" s="467"/>
      <c r="M374" s="467"/>
    </row>
    <row r="375" spans="5:13" s="461" customFormat="1" x14ac:dyDescent="0.25">
      <c r="E375" s="462" t="s">
        <v>944</v>
      </c>
      <c r="F375" s="462">
        <v>0</v>
      </c>
      <c r="G375" s="462">
        <f>H258</f>
        <v>0</v>
      </c>
      <c r="H375" s="462">
        <f>I258+H280</f>
        <v>0</v>
      </c>
      <c r="I375" s="462">
        <f>J258+I280+H302</f>
        <v>0</v>
      </c>
      <c r="J375" s="462">
        <f>K258+J280+I302+H324</f>
        <v>0</v>
      </c>
      <c r="K375" s="462">
        <f>L258+K280+J302+I324+H346</f>
        <v>0</v>
      </c>
      <c r="L375" s="467"/>
      <c r="M375" s="467"/>
    </row>
    <row r="376" spans="5:13" s="461" customFormat="1" x14ac:dyDescent="0.25">
      <c r="E376" s="467"/>
      <c r="F376" s="467"/>
      <c r="G376" s="467"/>
      <c r="H376" s="467"/>
      <c r="I376" s="467"/>
      <c r="J376" s="467"/>
      <c r="K376" s="467"/>
      <c r="L376" s="467"/>
      <c r="M376" s="467"/>
    </row>
    <row r="377" spans="5:13" s="461" customFormat="1" x14ac:dyDescent="0.25">
      <c r="E377" s="468" t="s">
        <v>947</v>
      </c>
      <c r="F377" s="462" t="str">
        <f>F372</f>
        <v>AÑO 0</v>
      </c>
      <c r="G377" s="462" t="str">
        <f t="shared" ref="G377:K377" si="115">G372</f>
        <v>AÑO 1</v>
      </c>
      <c r="H377" s="462" t="str">
        <f t="shared" si="115"/>
        <v>AÑO 2</v>
      </c>
      <c r="I377" s="462" t="str">
        <f t="shared" si="115"/>
        <v>AÑO 3</v>
      </c>
      <c r="J377" s="462" t="str">
        <f t="shared" si="115"/>
        <v>AÑO 4</v>
      </c>
      <c r="K377" s="462" t="str">
        <f t="shared" si="115"/>
        <v>AÑO 5</v>
      </c>
      <c r="L377" s="467"/>
      <c r="M377" s="467"/>
    </row>
    <row r="378" spans="5:13" s="461" customFormat="1" x14ac:dyDescent="0.25">
      <c r="E378" s="462" t="s">
        <v>942</v>
      </c>
      <c r="F378" s="465">
        <f>F260</f>
        <v>0</v>
      </c>
      <c r="G378" s="465">
        <f>F378+F282</f>
        <v>0</v>
      </c>
      <c r="H378" s="465">
        <f>G378+F304</f>
        <v>0</v>
      </c>
      <c r="I378" s="465">
        <f>H378+F326</f>
        <v>0</v>
      </c>
      <c r="J378" s="465">
        <f>I378+F348</f>
        <v>0</v>
      </c>
      <c r="K378" s="465">
        <f>J378+W150</f>
        <v>0</v>
      </c>
      <c r="L378" s="467"/>
      <c r="M378" s="467"/>
    </row>
    <row r="379" spans="5:13" s="461" customFormat="1" x14ac:dyDescent="0.25">
      <c r="E379" s="462" t="s">
        <v>943</v>
      </c>
      <c r="F379" s="462">
        <v>0</v>
      </c>
      <c r="G379" s="462">
        <f>-1*(H261)</f>
        <v>0</v>
      </c>
      <c r="H379" s="462">
        <f>-1*(I261+H283)</f>
        <v>0</v>
      </c>
      <c r="I379" s="462">
        <f>-1*(J261+I283+H305)</f>
        <v>0</v>
      </c>
      <c r="J379" s="462">
        <f>-1*(K261+J283+I305+H327)</f>
        <v>0</v>
      </c>
      <c r="K379" s="462">
        <f>-1*(L261+K283+J305+I327+H349)</f>
        <v>0</v>
      </c>
      <c r="L379" s="467"/>
      <c r="M379" s="467"/>
    </row>
    <row r="380" spans="5:13" s="461" customFormat="1" x14ac:dyDescent="0.25">
      <c r="E380" s="462" t="s">
        <v>944</v>
      </c>
      <c r="F380" s="462">
        <v>0</v>
      </c>
      <c r="G380" s="462">
        <f>H260</f>
        <v>0</v>
      </c>
      <c r="H380" s="462">
        <f>I260+H282</f>
        <v>0</v>
      </c>
      <c r="I380" s="462">
        <f>J260+I282+H304</f>
        <v>0</v>
      </c>
      <c r="J380" s="462">
        <f>K260+J282+I304+H326</f>
        <v>0</v>
      </c>
      <c r="K380" s="462">
        <f>L260+K282+J304+I326+H348</f>
        <v>0</v>
      </c>
      <c r="L380" s="467"/>
      <c r="M380" s="467"/>
    </row>
    <row r="381" spans="5:13" s="461" customFormat="1" x14ac:dyDescent="0.25">
      <c r="E381" s="467"/>
      <c r="F381" s="467"/>
      <c r="G381" s="467"/>
      <c r="H381" s="467"/>
      <c r="I381" s="467"/>
      <c r="J381" s="467"/>
      <c r="K381" s="467"/>
      <c r="L381" s="467"/>
      <c r="M381" s="467"/>
    </row>
    <row r="382" spans="5:13" s="461" customFormat="1" x14ac:dyDescent="0.25">
      <c r="E382" s="468" t="s">
        <v>948</v>
      </c>
      <c r="F382" s="462" t="str">
        <f>F377</f>
        <v>AÑO 0</v>
      </c>
      <c r="G382" s="462" t="str">
        <f t="shared" ref="G382:K382" si="116">G377</f>
        <v>AÑO 1</v>
      </c>
      <c r="H382" s="462" t="str">
        <f t="shared" si="116"/>
        <v>AÑO 2</v>
      </c>
      <c r="I382" s="462" t="str">
        <f t="shared" si="116"/>
        <v>AÑO 3</v>
      </c>
      <c r="J382" s="462" t="str">
        <f t="shared" si="116"/>
        <v>AÑO 4</v>
      </c>
      <c r="K382" s="462" t="str">
        <f t="shared" si="116"/>
        <v>AÑO 5</v>
      </c>
      <c r="L382" s="467"/>
      <c r="M382" s="467"/>
    </row>
    <row r="383" spans="5:13" s="461" customFormat="1" x14ac:dyDescent="0.25">
      <c r="E383" s="462" t="s">
        <v>942</v>
      </c>
      <c r="F383" s="465">
        <f>F262</f>
        <v>0</v>
      </c>
      <c r="G383" s="465">
        <f>F383+F284</f>
        <v>0</v>
      </c>
      <c r="H383" s="465">
        <f>G383+F306</f>
        <v>0</v>
      </c>
      <c r="I383" s="465">
        <f>H383+F328</f>
        <v>0</v>
      </c>
      <c r="J383" s="465">
        <f>I383+F350</f>
        <v>0</v>
      </c>
      <c r="K383" s="465">
        <f>J383+W178</f>
        <v>0</v>
      </c>
      <c r="L383" s="467"/>
      <c r="M383" s="467"/>
    </row>
    <row r="384" spans="5:13" s="461" customFormat="1" x14ac:dyDescent="0.25">
      <c r="E384" s="462" t="s">
        <v>943</v>
      </c>
      <c r="F384" s="462">
        <v>0</v>
      </c>
      <c r="G384" s="462">
        <f>-1*(H263)</f>
        <v>0</v>
      </c>
      <c r="H384" s="462">
        <f>-1*(I263+H285)</f>
        <v>0</v>
      </c>
      <c r="I384" s="462">
        <f>-1*(J263+I285+H307)</f>
        <v>0</v>
      </c>
      <c r="J384" s="462">
        <f>-1*(K263+J285+I307+H329)</f>
        <v>0</v>
      </c>
      <c r="K384" s="462">
        <f>-1*(L263+K285+J307+I329+H351)</f>
        <v>0</v>
      </c>
      <c r="L384" s="467"/>
      <c r="M384" s="467"/>
    </row>
    <row r="385" spans="5:13" s="461" customFormat="1" x14ac:dyDescent="0.25">
      <c r="E385" s="462" t="s">
        <v>944</v>
      </c>
      <c r="F385" s="462">
        <v>0</v>
      </c>
      <c r="G385" s="462">
        <f>H262</f>
        <v>0</v>
      </c>
      <c r="H385" s="462">
        <f>I262+H284</f>
        <v>0</v>
      </c>
      <c r="I385" s="462">
        <f>J262+I284+H306</f>
        <v>0</v>
      </c>
      <c r="J385" s="462">
        <f>K262+J284+I306+H328</f>
        <v>0</v>
      </c>
      <c r="K385" s="462">
        <f>L262+K284+J306+I328+H350</f>
        <v>0</v>
      </c>
      <c r="L385" s="467"/>
      <c r="M385" s="467"/>
    </row>
    <row r="386" spans="5:13" s="461" customFormat="1" x14ac:dyDescent="0.25">
      <c r="E386" s="467"/>
      <c r="F386" s="467"/>
      <c r="G386" s="467"/>
      <c r="H386" s="467"/>
      <c r="I386" s="467"/>
      <c r="J386" s="467"/>
      <c r="K386" s="467"/>
      <c r="L386" s="467"/>
      <c r="M386" s="467"/>
    </row>
    <row r="387" spans="5:13" s="461" customFormat="1" x14ac:dyDescent="0.25">
      <c r="E387" s="468" t="s">
        <v>949</v>
      </c>
      <c r="F387" s="462" t="str">
        <f>F382</f>
        <v>AÑO 0</v>
      </c>
      <c r="G387" s="462" t="str">
        <f t="shared" ref="G387:K387" si="117">G382</f>
        <v>AÑO 1</v>
      </c>
      <c r="H387" s="462" t="str">
        <f t="shared" si="117"/>
        <v>AÑO 2</v>
      </c>
      <c r="I387" s="462" t="str">
        <f t="shared" si="117"/>
        <v>AÑO 3</v>
      </c>
      <c r="J387" s="462" t="str">
        <f t="shared" si="117"/>
        <v>AÑO 4</v>
      </c>
      <c r="K387" s="462" t="str">
        <f t="shared" si="117"/>
        <v>AÑO 5</v>
      </c>
      <c r="L387" s="467"/>
      <c r="M387" s="467"/>
    </row>
    <row r="388" spans="5:13" s="461" customFormat="1" x14ac:dyDescent="0.25">
      <c r="E388" s="462" t="s">
        <v>942</v>
      </c>
      <c r="F388" s="465">
        <f>F265</f>
        <v>0</v>
      </c>
      <c r="G388" s="465">
        <f>F388+F287</f>
        <v>0</v>
      </c>
      <c r="H388" s="465">
        <f>G388+F309</f>
        <v>0</v>
      </c>
      <c r="I388" s="465">
        <f>H388+F331</f>
        <v>0</v>
      </c>
      <c r="J388" s="465">
        <f>I388+F353</f>
        <v>0</v>
      </c>
      <c r="K388" s="465">
        <f>J388+W208</f>
        <v>0</v>
      </c>
      <c r="L388" s="467"/>
      <c r="M388" s="467"/>
    </row>
    <row r="389" spans="5:13" s="461" customFormat="1" x14ac:dyDescent="0.25">
      <c r="E389" s="462" t="s">
        <v>950</v>
      </c>
      <c r="F389" s="462">
        <v>0</v>
      </c>
      <c r="G389" s="462">
        <f>-1*(H266)</f>
        <v>0</v>
      </c>
      <c r="H389" s="462">
        <f>-1*(I266+H288)</f>
        <v>0</v>
      </c>
      <c r="I389" s="462">
        <f>-1*(J266+I288+H310)</f>
        <v>0</v>
      </c>
      <c r="J389" s="462">
        <f>-1*(K266+J288+I310+H332)</f>
        <v>0</v>
      </c>
      <c r="K389" s="462">
        <f>-1*(L266+K288+J310+I332+H354)</f>
        <v>0</v>
      </c>
      <c r="L389" s="467"/>
      <c r="M389" s="467"/>
    </row>
    <row r="390" spans="5:13" s="461" customFormat="1" x14ac:dyDescent="0.25">
      <c r="E390" s="462" t="s">
        <v>951</v>
      </c>
      <c r="F390" s="462">
        <v>0</v>
      </c>
      <c r="G390" s="462">
        <f>H265</f>
        <v>0</v>
      </c>
      <c r="H390" s="462">
        <f>I265+H287</f>
        <v>0</v>
      </c>
      <c r="I390" s="462">
        <f>J265+I287+H309</f>
        <v>0</v>
      </c>
      <c r="J390" s="462">
        <f>K265+J287+I309+H331</f>
        <v>0</v>
      </c>
      <c r="K390" s="462">
        <f>L265+K287+J309+I331+H353</f>
        <v>0</v>
      </c>
      <c r="L390" s="467"/>
      <c r="M390" s="467"/>
    </row>
    <row r="391" spans="5:13" s="461" customFormat="1" x14ac:dyDescent="0.25">
      <c r="E391" s="467"/>
      <c r="F391" s="467"/>
      <c r="G391" s="467"/>
      <c r="H391" s="467"/>
      <c r="I391" s="467"/>
      <c r="J391" s="467"/>
      <c r="K391" s="467"/>
      <c r="L391" s="467"/>
      <c r="M391" s="467"/>
    </row>
    <row r="392" spans="5:13" s="461" customFormat="1" x14ac:dyDescent="0.25">
      <c r="E392" s="468" t="s">
        <v>952</v>
      </c>
      <c r="F392" s="462" t="str">
        <f>F387</f>
        <v>AÑO 0</v>
      </c>
      <c r="G392" s="462" t="str">
        <f t="shared" ref="G392:K392" si="118">G387</f>
        <v>AÑO 1</v>
      </c>
      <c r="H392" s="462" t="str">
        <f t="shared" si="118"/>
        <v>AÑO 2</v>
      </c>
      <c r="I392" s="462" t="str">
        <f t="shared" si="118"/>
        <v>AÑO 3</v>
      </c>
      <c r="J392" s="462" t="str">
        <f t="shared" si="118"/>
        <v>AÑO 4</v>
      </c>
      <c r="K392" s="462" t="str">
        <f t="shared" si="118"/>
        <v>AÑO 5</v>
      </c>
      <c r="L392" s="467"/>
      <c r="M392" s="467"/>
    </row>
    <row r="393" spans="5:13" s="461" customFormat="1" x14ac:dyDescent="0.25">
      <c r="E393" s="462" t="s">
        <v>942</v>
      </c>
      <c r="F393" s="465">
        <f>F266</f>
        <v>0</v>
      </c>
      <c r="G393" s="465">
        <f>F393+F288</f>
        <v>0</v>
      </c>
      <c r="H393" s="465">
        <f>G393+F310</f>
        <v>0</v>
      </c>
      <c r="I393" s="465">
        <f>H393+F332</f>
        <v>0</v>
      </c>
      <c r="J393" s="465">
        <f>I393+F354</f>
        <v>0</v>
      </c>
      <c r="K393" s="465">
        <f>J393+W227</f>
        <v>0</v>
      </c>
      <c r="L393" s="467"/>
      <c r="M393" s="467"/>
    </row>
    <row r="394" spans="5:13" s="461" customFormat="1" x14ac:dyDescent="0.25">
      <c r="E394" s="462" t="s">
        <v>950</v>
      </c>
      <c r="F394" s="462">
        <v>0</v>
      </c>
      <c r="G394" s="462">
        <f>-1*(H267)</f>
        <v>0</v>
      </c>
      <c r="H394" s="462">
        <f>-1*(I267+H289)</f>
        <v>0</v>
      </c>
      <c r="I394" s="462">
        <f>-1*(J267+I289+H311)</f>
        <v>0</v>
      </c>
      <c r="J394" s="462">
        <f>-1*(K267+J289+I311+H333)</f>
        <v>0</v>
      </c>
      <c r="K394" s="462">
        <f>-1*(L267+K289+J311+I333+H355)</f>
        <v>0</v>
      </c>
      <c r="L394" s="467"/>
      <c r="M394" s="467"/>
    </row>
    <row r="395" spans="5:13" s="461" customFormat="1" x14ac:dyDescent="0.25">
      <c r="E395" s="462" t="s">
        <v>951</v>
      </c>
      <c r="F395" s="462">
        <v>0</v>
      </c>
      <c r="G395" s="462">
        <f>H266</f>
        <v>0</v>
      </c>
      <c r="H395" s="462">
        <f>I266+H288</f>
        <v>0</v>
      </c>
      <c r="I395" s="462">
        <f>J266+I288+H310</f>
        <v>0</v>
      </c>
      <c r="J395" s="462">
        <f>K266+J288+I310+H332</f>
        <v>0</v>
      </c>
      <c r="K395" s="462">
        <f>L266+K288+J310+I332+H354</f>
        <v>0</v>
      </c>
      <c r="L395" s="467"/>
      <c r="M395" s="467"/>
    </row>
    <row r="396" spans="5:13" s="461" customFormat="1" x14ac:dyDescent="0.25">
      <c r="E396" s="467"/>
      <c r="F396" s="467"/>
      <c r="G396" s="467"/>
      <c r="H396" s="467"/>
      <c r="I396" s="467"/>
      <c r="J396" s="467"/>
      <c r="K396" s="467"/>
      <c r="L396" s="467"/>
      <c r="M396" s="467"/>
    </row>
    <row r="397" spans="5:13" s="461" customFormat="1" x14ac:dyDescent="0.25">
      <c r="E397" s="468" t="s">
        <v>953</v>
      </c>
      <c r="F397" s="462" t="str">
        <f>F392</f>
        <v>AÑO 0</v>
      </c>
      <c r="G397" s="462" t="str">
        <f t="shared" ref="G397:K397" si="119">G392</f>
        <v>AÑO 1</v>
      </c>
      <c r="H397" s="462" t="str">
        <f t="shared" si="119"/>
        <v>AÑO 2</v>
      </c>
      <c r="I397" s="462" t="str">
        <f t="shared" si="119"/>
        <v>AÑO 3</v>
      </c>
      <c r="J397" s="462" t="str">
        <f t="shared" si="119"/>
        <v>AÑO 4</v>
      </c>
      <c r="K397" s="462" t="str">
        <f t="shared" si="119"/>
        <v>AÑO 5</v>
      </c>
      <c r="L397" s="467"/>
      <c r="M397" s="467"/>
    </row>
    <row r="398" spans="5:13" s="461" customFormat="1" x14ac:dyDescent="0.25">
      <c r="E398" s="462" t="s">
        <v>942</v>
      </c>
      <c r="F398" s="465">
        <f>F268</f>
        <v>0</v>
      </c>
      <c r="G398" s="465">
        <f>F398+F290</f>
        <v>0</v>
      </c>
      <c r="H398" s="465">
        <f>G398+F312</f>
        <v>0</v>
      </c>
      <c r="I398" s="465">
        <f>H398+F334</f>
        <v>0</v>
      </c>
      <c r="J398" s="465">
        <f>I398+F356</f>
        <v>0</v>
      </c>
      <c r="K398" s="465">
        <f>J398+W237</f>
        <v>0</v>
      </c>
      <c r="L398" s="467"/>
      <c r="M398" s="467"/>
    </row>
    <row r="399" spans="5:13" s="461" customFormat="1" x14ac:dyDescent="0.25">
      <c r="E399" s="462" t="s">
        <v>950</v>
      </c>
      <c r="F399" s="462">
        <v>0</v>
      </c>
      <c r="G399" s="462">
        <f>-1*(H269)</f>
        <v>0</v>
      </c>
      <c r="H399" s="462">
        <f>-1*(I269+H291)</f>
        <v>0</v>
      </c>
      <c r="I399" s="462">
        <f>-1*(J269+I291+H313)</f>
        <v>0</v>
      </c>
      <c r="J399" s="462">
        <f>-1*(K269+J291+I313+H335)</f>
        <v>0</v>
      </c>
      <c r="K399" s="462">
        <f>-1*(L269+K291+J313+I335+H357)</f>
        <v>0</v>
      </c>
      <c r="L399" s="467"/>
      <c r="M399" s="467"/>
    </row>
    <row r="400" spans="5:13" s="461" customFormat="1" x14ac:dyDescent="0.25">
      <c r="E400" s="462" t="s">
        <v>951</v>
      </c>
      <c r="F400" s="462">
        <v>0</v>
      </c>
      <c r="G400" s="462">
        <f>H268</f>
        <v>0</v>
      </c>
      <c r="H400" s="462">
        <f>I268+H290</f>
        <v>0</v>
      </c>
      <c r="I400" s="462">
        <f>J268+I290+H312</f>
        <v>0</v>
      </c>
      <c r="J400" s="462">
        <f>K268+J290+I312+H334</f>
        <v>0</v>
      </c>
      <c r="K400" s="462">
        <f>L268+K290+J312+I334+H356</f>
        <v>0</v>
      </c>
      <c r="L400" s="467"/>
      <c r="M400" s="467"/>
    </row>
    <row r="401" spans="5:13" s="461" customFormat="1" x14ac:dyDescent="0.25">
      <c r="E401" s="467"/>
      <c r="F401" s="467"/>
      <c r="G401" s="467"/>
      <c r="H401" s="467"/>
      <c r="I401" s="467"/>
      <c r="J401" s="467"/>
      <c r="K401" s="467"/>
      <c r="L401" s="467"/>
      <c r="M401" s="467"/>
    </row>
    <row r="402" spans="5:13" s="461" customFormat="1" x14ac:dyDescent="0.25">
      <c r="E402" s="468" t="s">
        <v>954</v>
      </c>
      <c r="F402" s="462" t="str">
        <f>F397</f>
        <v>AÑO 0</v>
      </c>
      <c r="G402" s="462" t="str">
        <f>G397</f>
        <v>AÑO 1</v>
      </c>
      <c r="H402" s="462" t="str">
        <f t="shared" ref="H402:K402" si="120">H397</f>
        <v>AÑO 2</v>
      </c>
      <c r="I402" s="462" t="str">
        <f t="shared" si="120"/>
        <v>AÑO 3</v>
      </c>
      <c r="J402" s="462" t="str">
        <f t="shared" si="120"/>
        <v>AÑO 4</v>
      </c>
      <c r="K402" s="462" t="str">
        <f t="shared" si="120"/>
        <v>AÑO 5</v>
      </c>
      <c r="L402" s="467"/>
      <c r="M402" s="467"/>
    </row>
    <row r="403" spans="5:13" s="461" customFormat="1" x14ac:dyDescent="0.25">
      <c r="E403" s="462" t="s">
        <v>942</v>
      </c>
      <c r="F403" s="465">
        <f>F270</f>
        <v>0</v>
      </c>
      <c r="G403" s="465">
        <f>F403+F292</f>
        <v>0</v>
      </c>
      <c r="H403" s="465">
        <f>G403+F314</f>
        <v>0</v>
      </c>
      <c r="I403" s="465">
        <f>H403+F336</f>
        <v>0</v>
      </c>
      <c r="J403" s="465">
        <f>I403+F358</f>
        <v>0</v>
      </c>
      <c r="K403" s="465">
        <f>J403+W245</f>
        <v>0</v>
      </c>
      <c r="L403" s="467"/>
      <c r="M403" s="467"/>
    </row>
    <row r="404" spans="5:13" s="461" customFormat="1" x14ac:dyDescent="0.25">
      <c r="E404" s="462" t="s">
        <v>950</v>
      </c>
      <c r="F404" s="462">
        <v>0</v>
      </c>
      <c r="G404" s="462">
        <f>-1*(H271)</f>
        <v>0</v>
      </c>
      <c r="H404" s="462">
        <f>-1*(I271+H293)</f>
        <v>0</v>
      </c>
      <c r="I404" s="462">
        <f>-1*(J271+I293+H315)</f>
        <v>0</v>
      </c>
      <c r="J404" s="462">
        <f>-1*(K271+J293+I315+H337)</f>
        <v>0</v>
      </c>
      <c r="K404" s="462">
        <f>-1*(L271+K293+J315+I337+H359)</f>
        <v>0</v>
      </c>
      <c r="L404" s="467"/>
      <c r="M404" s="467"/>
    </row>
    <row r="405" spans="5:13" s="461" customFormat="1" x14ac:dyDescent="0.25">
      <c r="E405" s="462" t="s">
        <v>951</v>
      </c>
      <c r="F405" s="462">
        <v>0</v>
      </c>
      <c r="G405" s="462">
        <f>H270</f>
        <v>0</v>
      </c>
      <c r="H405" s="462">
        <f>I270+H292</f>
        <v>0</v>
      </c>
      <c r="I405" s="462">
        <f>J270+I292+H314</f>
        <v>0</v>
      </c>
      <c r="J405" s="462">
        <f>K270+J292+I314+H336</f>
        <v>0</v>
      </c>
      <c r="K405" s="462">
        <f>L270+K292+J314+I336+H358</f>
        <v>0</v>
      </c>
      <c r="L405" s="467"/>
      <c r="M405" s="467"/>
    </row>
    <row r="406" spans="5:13" s="461" customFormat="1" x14ac:dyDescent="0.25">
      <c r="E406" s="467"/>
      <c r="F406" s="467"/>
      <c r="G406" s="467"/>
      <c r="H406" s="467"/>
      <c r="I406" s="467"/>
      <c r="J406" s="467"/>
      <c r="K406" s="467"/>
      <c r="L406" s="467"/>
      <c r="M406" s="467"/>
    </row>
    <row r="407" spans="5:13" s="461" customFormat="1" x14ac:dyDescent="0.25">
      <c r="E407" s="462"/>
      <c r="F407" s="462"/>
      <c r="G407" s="462" t="str">
        <f>G402</f>
        <v>AÑO 1</v>
      </c>
      <c r="H407" s="462" t="str">
        <f t="shared" ref="H407:K407" si="121">H402</f>
        <v>AÑO 2</v>
      </c>
      <c r="I407" s="462" t="str">
        <f t="shared" si="121"/>
        <v>AÑO 3</v>
      </c>
      <c r="J407" s="462" t="str">
        <f t="shared" si="121"/>
        <v>AÑO 4</v>
      </c>
      <c r="K407" s="462" t="str">
        <f t="shared" si="121"/>
        <v>AÑO 5</v>
      </c>
      <c r="L407" s="467"/>
      <c r="M407" s="467"/>
    </row>
    <row r="408" spans="5:13" s="461" customFormat="1" x14ac:dyDescent="0.25">
      <c r="E408" s="468" t="s">
        <v>955</v>
      </c>
      <c r="F408" s="462"/>
      <c r="G408" s="462">
        <f>G365+G370+G375+G380+G385</f>
        <v>0</v>
      </c>
      <c r="H408" s="462">
        <f>H365+H370+H375+H380+H385</f>
        <v>0</v>
      </c>
      <c r="I408" s="462">
        <f t="shared" ref="I408:K408" si="122">I365+I370+I375+I380+I385</f>
        <v>0</v>
      </c>
      <c r="J408" s="462">
        <f t="shared" si="122"/>
        <v>0</v>
      </c>
      <c r="K408" s="462">
        <f t="shared" si="122"/>
        <v>0</v>
      </c>
      <c r="L408" s="467"/>
      <c r="M408" s="467"/>
    </row>
    <row r="409" spans="5:13" s="461" customFormat="1" x14ac:dyDescent="0.25">
      <c r="E409" s="468" t="s">
        <v>956</v>
      </c>
      <c r="F409" s="462"/>
      <c r="G409" s="462">
        <f>G390+G395+G400+G405</f>
        <v>0</v>
      </c>
      <c r="H409" s="462">
        <f t="shared" ref="H409:K409" si="123">H390+H395+H400+H405</f>
        <v>0</v>
      </c>
      <c r="I409" s="462">
        <f t="shared" si="123"/>
        <v>0</v>
      </c>
      <c r="J409" s="462">
        <f t="shared" si="123"/>
        <v>0</v>
      </c>
      <c r="K409" s="462">
        <f t="shared" si="123"/>
        <v>0</v>
      </c>
      <c r="L409" s="467"/>
      <c r="M409" s="467"/>
    </row>
    <row r="410" spans="5:13" s="461" customFormat="1" x14ac:dyDescent="0.25">
      <c r="E410" s="467"/>
      <c r="F410" s="467"/>
      <c r="G410" s="467"/>
      <c r="H410" s="467"/>
      <c r="I410" s="467"/>
      <c r="J410" s="467"/>
      <c r="K410" s="467"/>
      <c r="L410" s="467"/>
      <c r="M410" s="467"/>
    </row>
    <row r="411" spans="5:13" s="461" customFormat="1" x14ac:dyDescent="0.25">
      <c r="E411" s="468" t="s">
        <v>957</v>
      </c>
      <c r="F411" s="462" t="str">
        <f>F402</f>
        <v>AÑO 0</v>
      </c>
      <c r="G411" s="462" t="str">
        <f t="shared" ref="G411:K411" si="124">G402</f>
        <v>AÑO 1</v>
      </c>
      <c r="H411" s="462" t="str">
        <f t="shared" si="124"/>
        <v>AÑO 2</v>
      </c>
      <c r="I411" s="462" t="str">
        <f t="shared" si="124"/>
        <v>AÑO 3</v>
      </c>
      <c r="J411" s="462" t="str">
        <f t="shared" si="124"/>
        <v>AÑO 4</v>
      </c>
      <c r="K411" s="462" t="str">
        <f t="shared" si="124"/>
        <v>AÑO 5</v>
      </c>
      <c r="L411" s="467"/>
      <c r="M411" s="467"/>
    </row>
    <row r="412" spans="5:13" s="461" customFormat="1" x14ac:dyDescent="0.25">
      <c r="E412" s="462" t="s">
        <v>942</v>
      </c>
      <c r="F412" s="462">
        <f>F32</f>
        <v>0</v>
      </c>
      <c r="G412" s="462">
        <f>F412+G32</f>
        <v>0</v>
      </c>
      <c r="H412" s="462">
        <f>G412+H32</f>
        <v>0</v>
      </c>
      <c r="I412" s="462">
        <f>H412+I32</f>
        <v>0</v>
      </c>
      <c r="J412" s="462">
        <f>I412+J32</f>
        <v>0</v>
      </c>
      <c r="K412" s="462">
        <f>J412+K32</f>
        <v>0</v>
      </c>
      <c r="L412" s="467"/>
      <c r="M412" s="467"/>
    </row>
    <row r="413" spans="5:13" s="461" customFormat="1" x14ac:dyDescent="0.25">
      <c r="E413" s="467"/>
      <c r="F413" s="467"/>
      <c r="G413" s="467"/>
      <c r="H413" s="467"/>
      <c r="I413" s="467"/>
      <c r="J413" s="467"/>
      <c r="K413" s="467"/>
      <c r="L413" s="467"/>
      <c r="M413" s="467"/>
    </row>
    <row r="414" spans="5:13" s="461" customFormat="1" x14ac:dyDescent="0.25"/>
  </sheetData>
  <mergeCells count="41">
    <mergeCell ref="E274:L274"/>
    <mergeCell ref="E296:K296"/>
    <mergeCell ref="E318:J318"/>
    <mergeCell ref="E340:I340"/>
    <mergeCell ref="D6:O6"/>
    <mergeCell ref="E239:G239"/>
    <mergeCell ref="E247:G247"/>
    <mergeCell ref="E249:G249"/>
    <mergeCell ref="F7:G7"/>
    <mergeCell ref="H7:I7"/>
    <mergeCell ref="J7:K7"/>
    <mergeCell ref="L7:M7"/>
    <mergeCell ref="N7:O7"/>
    <mergeCell ref="D11:F11"/>
    <mergeCell ref="D12:F12"/>
    <mergeCell ref="D13:F13"/>
    <mergeCell ref="D19:T19"/>
    <mergeCell ref="D26:G29"/>
    <mergeCell ref="I26:K29"/>
    <mergeCell ref="L20:N20"/>
    <mergeCell ref="E252:M252"/>
    <mergeCell ref="F20:H20"/>
    <mergeCell ref="I20:K20"/>
    <mergeCell ref="O20:Q20"/>
    <mergeCell ref="E190:E191"/>
    <mergeCell ref="R20:T20"/>
    <mergeCell ref="U35:W35"/>
    <mergeCell ref="E34:W34"/>
    <mergeCell ref="E180:G180"/>
    <mergeCell ref="F190:H190"/>
    <mergeCell ref="I190:K190"/>
    <mergeCell ref="L190:N190"/>
    <mergeCell ref="O190:Q190"/>
    <mergeCell ref="R190:T190"/>
    <mergeCell ref="U190:W190"/>
    <mergeCell ref="F35:H35"/>
    <mergeCell ref="I35:K35"/>
    <mergeCell ref="L35:N35"/>
    <mergeCell ref="O35:Q35"/>
    <mergeCell ref="R35:T35"/>
    <mergeCell ref="D183:G187"/>
  </mergeCells>
  <pageMargins left="0.7" right="0.7" top="0.75" bottom="0.75" header="0.3" footer="0.3"/>
  <pageSetup paperSize="9" orientation="portrait" horizontalDpi="0" verticalDpi="0"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5:P162"/>
  <sheetViews>
    <sheetView showGridLines="0" zoomScaleNormal="100" workbookViewId="0"/>
  </sheetViews>
  <sheetFormatPr baseColWidth="10" defaultColWidth="11.42578125" defaultRowHeight="15" x14ac:dyDescent="0.25"/>
  <cols>
    <col min="1" max="1" width="54.28515625" style="99" customWidth="1"/>
    <col min="2" max="2" width="49.7109375" style="99" customWidth="1"/>
    <col min="3" max="3" width="29.28515625" style="99" customWidth="1"/>
    <col min="4" max="4" width="28.140625" style="99" customWidth="1"/>
    <col min="5" max="5" width="21.28515625" style="99" customWidth="1"/>
    <col min="6" max="6" width="16.28515625" style="99" customWidth="1"/>
    <col min="7" max="7" width="34.28515625" style="99" customWidth="1"/>
    <col min="8" max="8" width="21.85546875" style="99" customWidth="1"/>
    <col min="9" max="9" width="16.7109375" style="99" customWidth="1"/>
    <col min="10" max="11" width="18.42578125" style="99" customWidth="1"/>
    <col min="12" max="12" width="18.140625" style="99" customWidth="1"/>
    <col min="13" max="13" width="20" style="99" customWidth="1"/>
    <col min="14" max="14" width="18.5703125" style="99" customWidth="1"/>
    <col min="15" max="15" width="22.42578125" style="99" customWidth="1"/>
    <col min="16" max="16" width="22.28515625" style="99" customWidth="1"/>
    <col min="17" max="16384" width="11.42578125" style="99"/>
  </cols>
  <sheetData>
    <row r="5" spans="1:16" ht="15.75" thickBot="1" x14ac:dyDescent="0.3"/>
    <row r="6" spans="1:16" x14ac:dyDescent="0.25">
      <c r="A6" s="680" t="s">
        <v>958</v>
      </c>
      <c r="B6" s="681"/>
    </row>
    <row r="7" spans="1:16" x14ac:dyDescent="0.25">
      <c r="A7" s="682"/>
      <c r="B7" s="683"/>
    </row>
    <row r="8" spans="1:16" x14ac:dyDescent="0.25">
      <c r="A8" s="682"/>
      <c r="B8" s="683"/>
    </row>
    <row r="9" spans="1:16" ht="15.75" thickBot="1" x14ac:dyDescent="0.3">
      <c r="A9" s="684"/>
      <c r="B9" s="685"/>
    </row>
    <row r="14" spans="1:16" x14ac:dyDescent="0.25">
      <c r="A14" s="690" t="s">
        <v>959</v>
      </c>
      <c r="B14" s="690"/>
      <c r="C14" s="690"/>
      <c r="D14" s="690"/>
      <c r="E14" s="690"/>
      <c r="F14" s="690"/>
      <c r="G14" s="690"/>
    </row>
    <row r="15" spans="1:16" ht="45.6" customHeight="1" x14ac:dyDescent="0.25">
      <c r="A15" s="100" t="s">
        <v>960</v>
      </c>
      <c r="B15" s="100" t="s">
        <v>961</v>
      </c>
      <c r="C15" s="100" t="s">
        <v>962</v>
      </c>
      <c r="D15" s="100" t="s">
        <v>963</v>
      </c>
      <c r="E15" s="100" t="s">
        <v>964</v>
      </c>
      <c r="F15" s="100" t="s">
        <v>965</v>
      </c>
      <c r="G15" s="100" t="s">
        <v>966</v>
      </c>
      <c r="H15" s="100" t="s">
        <v>967</v>
      </c>
      <c r="I15" s="100" t="s">
        <v>968</v>
      </c>
      <c r="J15" s="100" t="s">
        <v>969</v>
      </c>
      <c r="K15" s="100"/>
      <c r="L15" s="100" t="s">
        <v>970</v>
      </c>
      <c r="M15" s="100" t="s">
        <v>971</v>
      </c>
      <c r="N15" s="100" t="s">
        <v>972</v>
      </c>
      <c r="O15" s="100" t="s">
        <v>973</v>
      </c>
      <c r="P15" s="100" t="s">
        <v>974</v>
      </c>
    </row>
    <row r="16" spans="1:16" x14ac:dyDescent="0.25">
      <c r="A16" s="101"/>
      <c r="B16" s="101"/>
      <c r="C16" s="101"/>
      <c r="D16" s="101"/>
      <c r="E16" s="102"/>
      <c r="F16" s="103">
        <f>BASES!C22</f>
        <v>8.3299999999999999E-2</v>
      </c>
      <c r="G16" s="103">
        <f>BASES!C25</f>
        <v>0.12</v>
      </c>
      <c r="H16" s="103">
        <f>BASES!C23</f>
        <v>8.3299999999999999E-2</v>
      </c>
      <c r="I16" s="103">
        <f>BASES!C24</f>
        <v>4.1700000000000001E-2</v>
      </c>
      <c r="J16" s="103">
        <f>BASES!C31</f>
        <v>0.08</v>
      </c>
      <c r="K16" s="103"/>
      <c r="L16" s="104">
        <f>BASES!C33</f>
        <v>0.12</v>
      </c>
      <c r="M16" s="103">
        <f>BASES!C34</f>
        <v>8.5000000000000006E-2</v>
      </c>
      <c r="N16" s="103">
        <f>BASES!C35</f>
        <v>5.2199999999999998E-3</v>
      </c>
      <c r="O16" s="102"/>
      <c r="P16" s="102"/>
    </row>
    <row r="17" spans="1:16" x14ac:dyDescent="0.25">
      <c r="A17" s="105"/>
      <c r="B17" s="106"/>
      <c r="C17" s="107"/>
      <c r="D17" s="107"/>
      <c r="E17" s="108">
        <f>C17+D17</f>
        <v>0</v>
      </c>
      <c r="F17" s="108">
        <f>C17*$F$16</f>
        <v>0</v>
      </c>
      <c r="G17" s="108">
        <f>C17*$G$16</f>
        <v>0</v>
      </c>
      <c r="H17" s="108">
        <f>C17*$H$16</f>
        <v>0</v>
      </c>
      <c r="I17" s="108">
        <f>C17*$I$16</f>
        <v>0</v>
      </c>
      <c r="J17" s="108">
        <f>C17*$J$16</f>
        <v>0</v>
      </c>
      <c r="K17" s="108"/>
      <c r="L17" s="108">
        <f>C17*$L$16</f>
        <v>0</v>
      </c>
      <c r="M17" s="108">
        <f>C17*$M$16</f>
        <v>0</v>
      </c>
      <c r="N17" s="108">
        <f>C17*$N$16</f>
        <v>0</v>
      </c>
      <c r="O17" s="108">
        <f>SUM(E17:N17)</f>
        <v>0</v>
      </c>
      <c r="P17" s="108">
        <f>O17*12</f>
        <v>0</v>
      </c>
    </row>
    <row r="18" spans="1:16" x14ac:dyDescent="0.25">
      <c r="A18" s="110"/>
      <c r="B18" s="155" t="s">
        <v>973</v>
      </c>
      <c r="C18" s="156">
        <f t="shared" ref="C18:J18" si="0">SUM(C17:C17)</f>
        <v>0</v>
      </c>
      <c r="D18" s="156">
        <f t="shared" si="0"/>
        <v>0</v>
      </c>
      <c r="E18" s="156">
        <f t="shared" si="0"/>
        <v>0</v>
      </c>
      <c r="F18" s="156">
        <f t="shared" si="0"/>
        <v>0</v>
      </c>
      <c r="G18" s="156">
        <f t="shared" si="0"/>
        <v>0</v>
      </c>
      <c r="H18" s="156">
        <f t="shared" si="0"/>
        <v>0</v>
      </c>
      <c r="I18" s="156">
        <f t="shared" si="0"/>
        <v>0</v>
      </c>
      <c r="J18" s="156">
        <f t="shared" si="0"/>
        <v>0</v>
      </c>
      <c r="K18" s="156"/>
      <c r="L18" s="156">
        <f>SUM(L17:L17)</f>
        <v>0</v>
      </c>
      <c r="M18" s="156">
        <f>SUM(M17:M17)</f>
        <v>0</v>
      </c>
      <c r="N18" s="156">
        <f>SUM(N17:N17)</f>
        <v>0</v>
      </c>
      <c r="O18" s="156">
        <f>SUM(O17:O17)</f>
        <v>0</v>
      </c>
      <c r="P18" s="156">
        <f>SUM(P17:P17)</f>
        <v>0</v>
      </c>
    </row>
    <row r="19" spans="1:16" x14ac:dyDescent="0.25">
      <c r="A19" s="110"/>
      <c r="B19" s="155" t="s">
        <v>975</v>
      </c>
      <c r="C19" s="156">
        <f>C18*12</f>
        <v>0</v>
      </c>
      <c r="D19" s="156">
        <f t="shared" ref="D19:O19" si="1">D18*12</f>
        <v>0</v>
      </c>
      <c r="E19" s="156">
        <f t="shared" si="1"/>
        <v>0</v>
      </c>
      <c r="F19" s="156">
        <f t="shared" si="1"/>
        <v>0</v>
      </c>
      <c r="G19" s="156">
        <f t="shared" si="1"/>
        <v>0</v>
      </c>
      <c r="H19" s="156">
        <f t="shared" si="1"/>
        <v>0</v>
      </c>
      <c r="I19" s="156">
        <f t="shared" si="1"/>
        <v>0</v>
      </c>
      <c r="J19" s="156">
        <f t="shared" si="1"/>
        <v>0</v>
      </c>
      <c r="K19" s="156"/>
      <c r="L19" s="156">
        <f t="shared" si="1"/>
        <v>0</v>
      </c>
      <c r="M19" s="156">
        <f t="shared" si="1"/>
        <v>0</v>
      </c>
      <c r="N19" s="156">
        <f t="shared" si="1"/>
        <v>0</v>
      </c>
      <c r="O19" s="156">
        <f t="shared" si="1"/>
        <v>0</v>
      </c>
      <c r="P19" s="156"/>
    </row>
    <row r="22" spans="1:16" x14ac:dyDescent="0.25">
      <c r="A22" s="689" t="s">
        <v>976</v>
      </c>
      <c r="B22" s="689"/>
      <c r="C22" s="689"/>
      <c r="D22" s="689"/>
      <c r="E22" s="689"/>
      <c r="F22" s="689"/>
      <c r="G22" s="689"/>
      <c r="H22" s="689"/>
      <c r="I22" s="689"/>
      <c r="J22" s="689"/>
      <c r="K22" s="689"/>
      <c r="L22" s="689"/>
      <c r="M22" s="689"/>
      <c r="N22" s="689"/>
      <c r="O22" s="689"/>
      <c r="P22" s="689"/>
    </row>
    <row r="24" spans="1:16" x14ac:dyDescent="0.25">
      <c r="A24" s="157" t="s">
        <v>960</v>
      </c>
      <c r="B24" s="157" t="s">
        <v>961</v>
      </c>
      <c r="C24" s="157" t="s">
        <v>962</v>
      </c>
      <c r="D24" s="157" t="s">
        <v>977</v>
      </c>
    </row>
    <row r="25" spans="1:16" x14ac:dyDescent="0.25">
      <c r="A25" s="105">
        <v>1</v>
      </c>
      <c r="B25" s="106"/>
      <c r="C25" s="107"/>
      <c r="D25" s="111">
        <f>C25*12</f>
        <v>0</v>
      </c>
    </row>
    <row r="26" spans="1:16" x14ac:dyDescent="0.25">
      <c r="A26" s="105">
        <v>2</v>
      </c>
      <c r="B26" s="106"/>
      <c r="C26" s="107"/>
      <c r="D26" s="111">
        <f t="shared" ref="D26:D35" si="2">C26*12</f>
        <v>0</v>
      </c>
    </row>
    <row r="27" spans="1:16" x14ac:dyDescent="0.25">
      <c r="A27" s="105">
        <v>3</v>
      </c>
      <c r="B27" s="106"/>
      <c r="C27" s="107"/>
      <c r="D27" s="111">
        <f t="shared" si="2"/>
        <v>0</v>
      </c>
    </row>
    <row r="28" spans="1:16" x14ac:dyDescent="0.25">
      <c r="A28" s="105">
        <v>4</v>
      </c>
      <c r="B28" s="106"/>
      <c r="C28" s="107"/>
      <c r="D28" s="111">
        <f t="shared" si="2"/>
        <v>0</v>
      </c>
    </row>
    <row r="29" spans="1:16" x14ac:dyDescent="0.25">
      <c r="A29" s="105">
        <v>5</v>
      </c>
      <c r="B29" s="106"/>
      <c r="C29" s="107"/>
      <c r="D29" s="111">
        <f t="shared" si="2"/>
        <v>0</v>
      </c>
    </row>
    <row r="30" spans="1:16" x14ac:dyDescent="0.25">
      <c r="A30" s="105">
        <v>6</v>
      </c>
      <c r="B30" s="106"/>
      <c r="C30" s="107"/>
      <c r="D30" s="111">
        <f t="shared" si="2"/>
        <v>0</v>
      </c>
    </row>
    <row r="31" spans="1:16" x14ac:dyDescent="0.25">
      <c r="A31" s="105">
        <v>7</v>
      </c>
      <c r="B31" s="106"/>
      <c r="C31" s="107"/>
      <c r="D31" s="111">
        <f t="shared" si="2"/>
        <v>0</v>
      </c>
    </row>
    <row r="32" spans="1:16" x14ac:dyDescent="0.25">
      <c r="A32" s="105">
        <v>8</v>
      </c>
      <c r="B32" s="106"/>
      <c r="C32" s="107"/>
      <c r="D32" s="111">
        <f t="shared" si="2"/>
        <v>0</v>
      </c>
    </row>
    <row r="33" spans="1:16" x14ac:dyDescent="0.25">
      <c r="A33" s="105">
        <v>9</v>
      </c>
      <c r="B33" s="106"/>
      <c r="C33" s="107"/>
      <c r="D33" s="111">
        <f t="shared" si="2"/>
        <v>0</v>
      </c>
    </row>
    <row r="34" spans="1:16" x14ac:dyDescent="0.25">
      <c r="A34" s="105">
        <v>10</v>
      </c>
      <c r="B34" s="106"/>
      <c r="C34" s="107"/>
      <c r="D34" s="111">
        <f t="shared" si="2"/>
        <v>0</v>
      </c>
    </row>
    <row r="35" spans="1:16" x14ac:dyDescent="0.25">
      <c r="A35" s="105">
        <v>11</v>
      </c>
      <c r="B35" s="106"/>
      <c r="C35" s="107"/>
      <c r="D35" s="111">
        <f t="shared" si="2"/>
        <v>0</v>
      </c>
    </row>
    <row r="36" spans="1:16" x14ac:dyDescent="0.25">
      <c r="A36" s="101"/>
      <c r="B36" s="155" t="s">
        <v>978</v>
      </c>
      <c r="C36" s="158">
        <f>SUM(C25:C35)</f>
        <v>0</v>
      </c>
      <c r="D36" s="158">
        <f>SUM(D25:D35)</f>
        <v>0</v>
      </c>
    </row>
    <row r="37" spans="1:16" x14ac:dyDescent="0.25">
      <c r="A37" s="101"/>
      <c r="B37" s="155" t="s">
        <v>974</v>
      </c>
      <c r="C37" s="158">
        <f>C36*12</f>
        <v>0</v>
      </c>
      <c r="D37" s="159"/>
    </row>
    <row r="40" spans="1:16" ht="15.75" thickBot="1" x14ac:dyDescent="0.3"/>
    <row r="41" spans="1:16" x14ac:dyDescent="0.25">
      <c r="A41" s="680" t="s">
        <v>979</v>
      </c>
      <c r="B41" s="686"/>
      <c r="C41" s="681"/>
    </row>
    <row r="42" spans="1:16" x14ac:dyDescent="0.25">
      <c r="A42" s="682"/>
      <c r="B42" s="687"/>
      <c r="C42" s="683"/>
    </row>
    <row r="43" spans="1:16" x14ac:dyDescent="0.25">
      <c r="A43" s="682"/>
      <c r="B43" s="687"/>
      <c r="C43" s="683"/>
    </row>
    <row r="44" spans="1:16" ht="15.75" thickBot="1" x14ac:dyDescent="0.3">
      <c r="A44" s="684"/>
      <c r="B44" s="688"/>
      <c r="C44" s="685"/>
    </row>
    <row r="46" spans="1:16" x14ac:dyDescent="0.25">
      <c r="A46" s="690" t="s">
        <v>959</v>
      </c>
      <c r="B46" s="690"/>
      <c r="C46" s="690"/>
      <c r="D46" s="690"/>
      <c r="E46" s="690"/>
      <c r="F46" s="690"/>
      <c r="G46" s="690"/>
      <c r="H46" s="690"/>
      <c r="I46" s="690"/>
      <c r="J46" s="690"/>
      <c r="K46" s="690"/>
      <c r="L46" s="690"/>
      <c r="M46" s="690"/>
      <c r="N46" s="690"/>
      <c r="O46" s="690"/>
      <c r="P46" s="690"/>
    </row>
    <row r="48" spans="1:16" ht="40.9" customHeight="1" x14ac:dyDescent="0.25">
      <c r="A48" s="100" t="s">
        <v>960</v>
      </c>
      <c r="B48" s="100" t="s">
        <v>961</v>
      </c>
      <c r="C48" s="100" t="s">
        <v>962</v>
      </c>
      <c r="D48" s="100" t="s">
        <v>963</v>
      </c>
      <c r="E48" s="100" t="s">
        <v>980</v>
      </c>
      <c r="F48" s="100" t="s">
        <v>965</v>
      </c>
      <c r="G48" s="100" t="s">
        <v>966</v>
      </c>
      <c r="H48" s="100" t="s">
        <v>967</v>
      </c>
      <c r="I48" s="100" t="s">
        <v>968</v>
      </c>
      <c r="J48" s="100" t="s">
        <v>969</v>
      </c>
      <c r="K48" s="100"/>
      <c r="L48" s="100" t="s">
        <v>970</v>
      </c>
      <c r="M48" s="100" t="s">
        <v>971</v>
      </c>
      <c r="N48" s="100" t="s">
        <v>972</v>
      </c>
      <c r="O48" s="100" t="s">
        <v>973</v>
      </c>
      <c r="P48" s="100" t="s">
        <v>974</v>
      </c>
    </row>
    <row r="49" spans="1:16" x14ac:dyDescent="0.25">
      <c r="A49" s="101"/>
      <c r="B49" s="101"/>
      <c r="C49" s="101"/>
      <c r="D49" s="101"/>
      <c r="E49" s="102"/>
      <c r="F49" s="103">
        <f>F16</f>
        <v>8.3299999999999999E-2</v>
      </c>
      <c r="G49" s="103">
        <f>G16</f>
        <v>0.12</v>
      </c>
      <c r="H49" s="103">
        <f>H16</f>
        <v>8.3299999999999999E-2</v>
      </c>
      <c r="I49" s="103">
        <f>I16</f>
        <v>4.1700000000000001E-2</v>
      </c>
      <c r="J49" s="103">
        <f>J16</f>
        <v>0.08</v>
      </c>
      <c r="K49" s="103"/>
      <c r="L49" s="104">
        <f>L16</f>
        <v>0.12</v>
      </c>
      <c r="M49" s="103">
        <f>M16</f>
        <v>8.5000000000000006E-2</v>
      </c>
      <c r="N49" s="103">
        <f>N16</f>
        <v>5.2199999999999998E-3</v>
      </c>
      <c r="O49" s="102"/>
      <c r="P49" s="102"/>
    </row>
    <row r="50" spans="1:16" x14ac:dyDescent="0.25">
      <c r="A50" s="105">
        <v>1</v>
      </c>
      <c r="B50" s="106" t="s">
        <v>981</v>
      </c>
      <c r="C50" s="107"/>
      <c r="D50" s="107"/>
      <c r="E50" s="108">
        <f>C50+D50</f>
        <v>0</v>
      </c>
      <c r="F50" s="108">
        <f>C50*$F$49</f>
        <v>0</v>
      </c>
      <c r="G50" s="108">
        <f>C50*$G$49</f>
        <v>0</v>
      </c>
      <c r="H50" s="108">
        <f>C50*$H$49</f>
        <v>0</v>
      </c>
      <c r="I50" s="108">
        <f>C50*$I$49</f>
        <v>0</v>
      </c>
      <c r="J50" s="108">
        <f>C50*$J$49</f>
        <v>0</v>
      </c>
      <c r="K50" s="108"/>
      <c r="L50" s="108">
        <f t="shared" ref="L50:L59" si="3">C50*$L$49</f>
        <v>0</v>
      </c>
      <c r="M50" s="108">
        <f t="shared" ref="M50:M59" si="4">C50*$M$49</f>
        <v>0</v>
      </c>
      <c r="N50" s="108">
        <f t="shared" ref="N50:N59" si="5">C50*$N$49</f>
        <v>0</v>
      </c>
      <c r="O50" s="108">
        <f t="shared" ref="O50:O59" si="6">SUM(E50:N50)</f>
        <v>0</v>
      </c>
      <c r="P50" s="108">
        <f>O50*12</f>
        <v>0</v>
      </c>
    </row>
    <row r="51" spans="1:16" x14ac:dyDescent="0.25">
      <c r="A51" s="105">
        <v>2</v>
      </c>
      <c r="B51" s="106"/>
      <c r="C51" s="107"/>
      <c r="D51" s="107"/>
      <c r="E51" s="108">
        <f t="shared" ref="E51:E59" si="7">C51+D51</f>
        <v>0</v>
      </c>
      <c r="F51" s="108">
        <f t="shared" ref="F51:F59" si="8">C51*$F$49</f>
        <v>0</v>
      </c>
      <c r="G51" s="108">
        <f t="shared" ref="G51:G59" si="9">C51*$G$49</f>
        <v>0</v>
      </c>
      <c r="H51" s="108">
        <f t="shared" ref="H51:H59" si="10">C51*$H$49</f>
        <v>0</v>
      </c>
      <c r="I51" s="108">
        <f t="shared" ref="I51:I59" si="11">C51*$I$49</f>
        <v>0</v>
      </c>
      <c r="J51" s="108">
        <f t="shared" ref="J51:J59" si="12">C51*$J$49</f>
        <v>0</v>
      </c>
      <c r="K51" s="108"/>
      <c r="L51" s="108">
        <f t="shared" si="3"/>
        <v>0</v>
      </c>
      <c r="M51" s="108">
        <f t="shared" si="4"/>
        <v>0</v>
      </c>
      <c r="N51" s="108">
        <f t="shared" si="5"/>
        <v>0</v>
      </c>
      <c r="O51" s="108">
        <f t="shared" si="6"/>
        <v>0</v>
      </c>
      <c r="P51" s="108">
        <f t="shared" ref="P51:P59" si="13">O51*12</f>
        <v>0</v>
      </c>
    </row>
    <row r="52" spans="1:16" x14ac:dyDescent="0.25">
      <c r="A52" s="105">
        <v>3</v>
      </c>
      <c r="B52" s="106"/>
      <c r="C52" s="107"/>
      <c r="D52" s="107"/>
      <c r="E52" s="108">
        <f t="shared" si="7"/>
        <v>0</v>
      </c>
      <c r="F52" s="108">
        <f t="shared" si="8"/>
        <v>0</v>
      </c>
      <c r="G52" s="108">
        <f t="shared" si="9"/>
        <v>0</v>
      </c>
      <c r="H52" s="108">
        <f t="shared" si="10"/>
        <v>0</v>
      </c>
      <c r="I52" s="108">
        <f t="shared" si="11"/>
        <v>0</v>
      </c>
      <c r="J52" s="108">
        <f t="shared" si="12"/>
        <v>0</v>
      </c>
      <c r="K52" s="108"/>
      <c r="L52" s="108">
        <f t="shared" si="3"/>
        <v>0</v>
      </c>
      <c r="M52" s="108">
        <f t="shared" si="4"/>
        <v>0</v>
      </c>
      <c r="N52" s="108">
        <f t="shared" si="5"/>
        <v>0</v>
      </c>
      <c r="O52" s="108">
        <f t="shared" si="6"/>
        <v>0</v>
      </c>
      <c r="P52" s="108">
        <f t="shared" si="13"/>
        <v>0</v>
      </c>
    </row>
    <row r="53" spans="1:16" x14ac:dyDescent="0.25">
      <c r="A53" s="105">
        <v>4</v>
      </c>
      <c r="B53" s="106"/>
      <c r="C53" s="107"/>
      <c r="D53" s="107"/>
      <c r="E53" s="108">
        <f t="shared" si="7"/>
        <v>0</v>
      </c>
      <c r="F53" s="108">
        <f t="shared" si="8"/>
        <v>0</v>
      </c>
      <c r="G53" s="108">
        <f t="shared" si="9"/>
        <v>0</v>
      </c>
      <c r="H53" s="108">
        <f t="shared" si="10"/>
        <v>0</v>
      </c>
      <c r="I53" s="108">
        <f t="shared" si="11"/>
        <v>0</v>
      </c>
      <c r="J53" s="108">
        <f t="shared" si="12"/>
        <v>0</v>
      </c>
      <c r="K53" s="108"/>
      <c r="L53" s="108">
        <f t="shared" si="3"/>
        <v>0</v>
      </c>
      <c r="M53" s="108">
        <f t="shared" si="4"/>
        <v>0</v>
      </c>
      <c r="N53" s="108">
        <f t="shared" si="5"/>
        <v>0</v>
      </c>
      <c r="O53" s="108">
        <f t="shared" si="6"/>
        <v>0</v>
      </c>
      <c r="P53" s="108">
        <f t="shared" si="13"/>
        <v>0</v>
      </c>
    </row>
    <row r="54" spans="1:16" x14ac:dyDescent="0.25">
      <c r="A54" s="105">
        <v>5</v>
      </c>
      <c r="B54" s="106"/>
      <c r="C54" s="107"/>
      <c r="D54" s="107"/>
      <c r="E54" s="108">
        <f t="shared" si="7"/>
        <v>0</v>
      </c>
      <c r="F54" s="108">
        <f t="shared" si="8"/>
        <v>0</v>
      </c>
      <c r="G54" s="108">
        <f t="shared" si="9"/>
        <v>0</v>
      </c>
      <c r="H54" s="108">
        <f t="shared" si="10"/>
        <v>0</v>
      </c>
      <c r="I54" s="108">
        <f t="shared" si="11"/>
        <v>0</v>
      </c>
      <c r="J54" s="108">
        <f t="shared" si="12"/>
        <v>0</v>
      </c>
      <c r="K54" s="108"/>
      <c r="L54" s="108">
        <f t="shared" si="3"/>
        <v>0</v>
      </c>
      <c r="M54" s="108">
        <f t="shared" si="4"/>
        <v>0</v>
      </c>
      <c r="N54" s="108">
        <f t="shared" si="5"/>
        <v>0</v>
      </c>
      <c r="O54" s="108">
        <f t="shared" si="6"/>
        <v>0</v>
      </c>
      <c r="P54" s="108">
        <f t="shared" si="13"/>
        <v>0</v>
      </c>
    </row>
    <row r="55" spans="1:16" x14ac:dyDescent="0.25">
      <c r="A55" s="105">
        <v>6</v>
      </c>
      <c r="B55" s="106"/>
      <c r="C55" s="107"/>
      <c r="D55" s="107"/>
      <c r="E55" s="108">
        <f t="shared" si="7"/>
        <v>0</v>
      </c>
      <c r="F55" s="108">
        <f t="shared" si="8"/>
        <v>0</v>
      </c>
      <c r="G55" s="108">
        <f t="shared" si="9"/>
        <v>0</v>
      </c>
      <c r="H55" s="108">
        <f t="shared" si="10"/>
        <v>0</v>
      </c>
      <c r="I55" s="108">
        <f t="shared" si="11"/>
        <v>0</v>
      </c>
      <c r="J55" s="108">
        <f t="shared" si="12"/>
        <v>0</v>
      </c>
      <c r="K55" s="108"/>
      <c r="L55" s="108">
        <f t="shared" si="3"/>
        <v>0</v>
      </c>
      <c r="M55" s="108">
        <f t="shared" si="4"/>
        <v>0</v>
      </c>
      <c r="N55" s="108">
        <f t="shared" si="5"/>
        <v>0</v>
      </c>
      <c r="O55" s="108">
        <f t="shared" si="6"/>
        <v>0</v>
      </c>
      <c r="P55" s="108">
        <f t="shared" si="13"/>
        <v>0</v>
      </c>
    </row>
    <row r="56" spans="1:16" x14ac:dyDescent="0.25">
      <c r="A56" s="105">
        <v>7</v>
      </c>
      <c r="B56" s="106"/>
      <c r="C56" s="107"/>
      <c r="D56" s="107"/>
      <c r="E56" s="108">
        <f t="shared" si="7"/>
        <v>0</v>
      </c>
      <c r="F56" s="108">
        <f t="shared" si="8"/>
        <v>0</v>
      </c>
      <c r="G56" s="108">
        <f t="shared" si="9"/>
        <v>0</v>
      </c>
      <c r="H56" s="108">
        <f t="shared" si="10"/>
        <v>0</v>
      </c>
      <c r="I56" s="108">
        <f t="shared" si="11"/>
        <v>0</v>
      </c>
      <c r="J56" s="108">
        <f t="shared" si="12"/>
        <v>0</v>
      </c>
      <c r="K56" s="108"/>
      <c r="L56" s="108">
        <f t="shared" si="3"/>
        <v>0</v>
      </c>
      <c r="M56" s="108">
        <f t="shared" si="4"/>
        <v>0</v>
      </c>
      <c r="N56" s="108">
        <f t="shared" si="5"/>
        <v>0</v>
      </c>
      <c r="O56" s="108">
        <f t="shared" si="6"/>
        <v>0</v>
      </c>
      <c r="P56" s="108">
        <f t="shared" si="13"/>
        <v>0</v>
      </c>
    </row>
    <row r="57" spans="1:16" x14ac:dyDescent="0.25">
      <c r="A57" s="105">
        <v>8</v>
      </c>
      <c r="B57" s="106"/>
      <c r="C57" s="107"/>
      <c r="D57" s="107"/>
      <c r="E57" s="108">
        <f t="shared" si="7"/>
        <v>0</v>
      </c>
      <c r="F57" s="108">
        <f t="shared" si="8"/>
        <v>0</v>
      </c>
      <c r="G57" s="108">
        <f t="shared" si="9"/>
        <v>0</v>
      </c>
      <c r="H57" s="108">
        <f t="shared" si="10"/>
        <v>0</v>
      </c>
      <c r="I57" s="108">
        <f t="shared" si="11"/>
        <v>0</v>
      </c>
      <c r="J57" s="108">
        <f t="shared" si="12"/>
        <v>0</v>
      </c>
      <c r="K57" s="108"/>
      <c r="L57" s="108">
        <f t="shared" si="3"/>
        <v>0</v>
      </c>
      <c r="M57" s="108">
        <f t="shared" si="4"/>
        <v>0</v>
      </c>
      <c r="N57" s="108">
        <f t="shared" si="5"/>
        <v>0</v>
      </c>
      <c r="O57" s="108">
        <f t="shared" si="6"/>
        <v>0</v>
      </c>
      <c r="P57" s="108">
        <f t="shared" si="13"/>
        <v>0</v>
      </c>
    </row>
    <row r="58" spans="1:16" x14ac:dyDescent="0.25">
      <c r="A58" s="105">
        <v>9</v>
      </c>
      <c r="B58" s="106"/>
      <c r="C58" s="107"/>
      <c r="D58" s="107"/>
      <c r="E58" s="108">
        <f t="shared" si="7"/>
        <v>0</v>
      </c>
      <c r="F58" s="108">
        <f t="shared" si="8"/>
        <v>0</v>
      </c>
      <c r="G58" s="108">
        <f t="shared" si="9"/>
        <v>0</v>
      </c>
      <c r="H58" s="108">
        <f t="shared" si="10"/>
        <v>0</v>
      </c>
      <c r="I58" s="108">
        <f t="shared" si="11"/>
        <v>0</v>
      </c>
      <c r="J58" s="108">
        <f t="shared" si="12"/>
        <v>0</v>
      </c>
      <c r="K58" s="108"/>
      <c r="L58" s="108">
        <f t="shared" si="3"/>
        <v>0</v>
      </c>
      <c r="M58" s="108">
        <f t="shared" si="4"/>
        <v>0</v>
      </c>
      <c r="N58" s="108">
        <f t="shared" si="5"/>
        <v>0</v>
      </c>
      <c r="O58" s="108">
        <f t="shared" si="6"/>
        <v>0</v>
      </c>
      <c r="P58" s="108">
        <f t="shared" si="13"/>
        <v>0</v>
      </c>
    </row>
    <row r="59" spans="1:16" x14ac:dyDescent="0.25">
      <c r="A59" s="105">
        <v>10</v>
      </c>
      <c r="B59" s="106"/>
      <c r="C59" s="107"/>
      <c r="D59" s="107"/>
      <c r="E59" s="108">
        <f t="shared" si="7"/>
        <v>0</v>
      </c>
      <c r="F59" s="108">
        <f t="shared" si="8"/>
        <v>0</v>
      </c>
      <c r="G59" s="108">
        <f t="shared" si="9"/>
        <v>0</v>
      </c>
      <c r="H59" s="108">
        <f t="shared" si="10"/>
        <v>0</v>
      </c>
      <c r="I59" s="108">
        <f t="shared" si="11"/>
        <v>0</v>
      </c>
      <c r="J59" s="108">
        <f t="shared" si="12"/>
        <v>0</v>
      </c>
      <c r="K59" s="108"/>
      <c r="L59" s="108">
        <f t="shared" si="3"/>
        <v>0</v>
      </c>
      <c r="M59" s="108">
        <f t="shared" si="4"/>
        <v>0</v>
      </c>
      <c r="N59" s="108">
        <f t="shared" si="5"/>
        <v>0</v>
      </c>
      <c r="O59" s="108">
        <f t="shared" si="6"/>
        <v>0</v>
      </c>
      <c r="P59" s="108">
        <f t="shared" si="13"/>
        <v>0</v>
      </c>
    </row>
    <row r="60" spans="1:16" x14ac:dyDescent="0.25">
      <c r="A60" s="101"/>
      <c r="B60" s="160" t="s">
        <v>973</v>
      </c>
      <c r="C60" s="158">
        <f t="shared" ref="C60:J60" si="14">SUM(C50:C59)</f>
        <v>0</v>
      </c>
      <c r="D60" s="158">
        <f t="shared" si="14"/>
        <v>0</v>
      </c>
      <c r="E60" s="158">
        <f t="shared" si="14"/>
        <v>0</v>
      </c>
      <c r="F60" s="158">
        <f t="shared" si="14"/>
        <v>0</v>
      </c>
      <c r="G60" s="158">
        <f t="shared" si="14"/>
        <v>0</v>
      </c>
      <c r="H60" s="158">
        <f t="shared" si="14"/>
        <v>0</v>
      </c>
      <c r="I60" s="158">
        <f t="shared" si="14"/>
        <v>0</v>
      </c>
      <c r="J60" s="158">
        <f t="shared" si="14"/>
        <v>0</v>
      </c>
      <c r="K60" s="158"/>
      <c r="L60" s="158">
        <f>SUM(L50:L59)</f>
        <v>0</v>
      </c>
      <c r="M60" s="158">
        <f>SUM(M50:M59)</f>
        <v>0</v>
      </c>
      <c r="N60" s="158">
        <f>SUM(N50:N59)</f>
        <v>0</v>
      </c>
      <c r="O60" s="158">
        <f>SUM(O50:O59)</f>
        <v>0</v>
      </c>
      <c r="P60" s="158">
        <f>SUM(P50:P59)</f>
        <v>0</v>
      </c>
    </row>
    <row r="61" spans="1:16" x14ac:dyDescent="0.25">
      <c r="A61" s="101"/>
      <c r="B61" s="160" t="s">
        <v>974</v>
      </c>
      <c r="C61" s="158">
        <f>C60*12</f>
        <v>0</v>
      </c>
      <c r="D61" s="158">
        <f t="shared" ref="D61:O61" si="15">D60*12</f>
        <v>0</v>
      </c>
      <c r="E61" s="158">
        <f t="shared" si="15"/>
        <v>0</v>
      </c>
      <c r="F61" s="158">
        <f t="shared" si="15"/>
        <v>0</v>
      </c>
      <c r="G61" s="158">
        <f t="shared" si="15"/>
        <v>0</v>
      </c>
      <c r="H61" s="158">
        <f t="shared" si="15"/>
        <v>0</v>
      </c>
      <c r="I61" s="158">
        <f t="shared" si="15"/>
        <v>0</v>
      </c>
      <c r="J61" s="158">
        <f t="shared" si="15"/>
        <v>0</v>
      </c>
      <c r="K61" s="158"/>
      <c r="L61" s="158">
        <f t="shared" si="15"/>
        <v>0</v>
      </c>
      <c r="M61" s="158">
        <f t="shared" si="15"/>
        <v>0</v>
      </c>
      <c r="N61" s="158">
        <f t="shared" si="15"/>
        <v>0</v>
      </c>
      <c r="O61" s="158">
        <f t="shared" si="15"/>
        <v>0</v>
      </c>
      <c r="P61" s="158"/>
    </row>
    <row r="64" spans="1:16" x14ac:dyDescent="0.25">
      <c r="A64" s="689" t="s">
        <v>982</v>
      </c>
      <c r="B64" s="689"/>
      <c r="C64" s="689"/>
      <c r="D64" s="689"/>
      <c r="E64" s="689"/>
    </row>
    <row r="65" spans="1:4" ht="15.75" thickBot="1" x14ac:dyDescent="0.3"/>
    <row r="66" spans="1:4" ht="15.75" thickBot="1" x14ac:dyDescent="0.3">
      <c r="A66" s="112" t="s">
        <v>960</v>
      </c>
      <c r="B66" s="113" t="s">
        <v>961</v>
      </c>
      <c r="C66" s="113" t="s">
        <v>962</v>
      </c>
      <c r="D66" s="114" t="s">
        <v>977</v>
      </c>
    </row>
    <row r="67" spans="1:4" x14ac:dyDescent="0.25">
      <c r="A67" s="115">
        <v>1</v>
      </c>
      <c r="B67" s="116"/>
      <c r="C67" s="117"/>
      <c r="D67" s="118">
        <f>C67*12</f>
        <v>0</v>
      </c>
    </row>
    <row r="68" spans="1:4" x14ac:dyDescent="0.25">
      <c r="A68" s="119">
        <v>2</v>
      </c>
      <c r="B68" s="106"/>
      <c r="C68" s="107"/>
      <c r="D68" s="118">
        <f t="shared" ref="D68:D77" si="16">C68*12</f>
        <v>0</v>
      </c>
    </row>
    <row r="69" spans="1:4" x14ac:dyDescent="0.25">
      <c r="A69" s="119">
        <v>3</v>
      </c>
      <c r="B69" s="106"/>
      <c r="C69" s="107"/>
      <c r="D69" s="118">
        <f t="shared" si="16"/>
        <v>0</v>
      </c>
    </row>
    <row r="70" spans="1:4" x14ac:dyDescent="0.25">
      <c r="A70" s="119">
        <v>4</v>
      </c>
      <c r="B70" s="106"/>
      <c r="C70" s="107"/>
      <c r="D70" s="118">
        <f t="shared" si="16"/>
        <v>0</v>
      </c>
    </row>
    <row r="71" spans="1:4" x14ac:dyDescent="0.25">
      <c r="A71" s="119">
        <v>5</v>
      </c>
      <c r="B71" s="106"/>
      <c r="C71" s="107"/>
      <c r="D71" s="118">
        <f t="shared" si="16"/>
        <v>0</v>
      </c>
    </row>
    <row r="72" spans="1:4" x14ac:dyDescent="0.25">
      <c r="A72" s="119">
        <v>6</v>
      </c>
      <c r="B72" s="106"/>
      <c r="C72" s="107"/>
      <c r="D72" s="118">
        <f t="shared" si="16"/>
        <v>0</v>
      </c>
    </row>
    <row r="73" spans="1:4" x14ac:dyDescent="0.25">
      <c r="A73" s="119">
        <v>7</v>
      </c>
      <c r="B73" s="106"/>
      <c r="C73" s="107"/>
      <c r="D73" s="118">
        <f t="shared" si="16"/>
        <v>0</v>
      </c>
    </row>
    <row r="74" spans="1:4" x14ac:dyDescent="0.25">
      <c r="A74" s="119">
        <v>8</v>
      </c>
      <c r="B74" s="106"/>
      <c r="C74" s="107"/>
      <c r="D74" s="118">
        <f t="shared" si="16"/>
        <v>0</v>
      </c>
    </row>
    <row r="75" spans="1:4" x14ac:dyDescent="0.25">
      <c r="A75" s="119">
        <v>9</v>
      </c>
      <c r="B75" s="106"/>
      <c r="C75" s="107"/>
      <c r="D75" s="118">
        <f t="shared" si="16"/>
        <v>0</v>
      </c>
    </row>
    <row r="76" spans="1:4" x14ac:dyDescent="0.25">
      <c r="A76" s="119">
        <v>10</v>
      </c>
      <c r="B76" s="106"/>
      <c r="C76" s="107"/>
      <c r="D76" s="118">
        <f t="shared" si="16"/>
        <v>0</v>
      </c>
    </row>
    <row r="77" spans="1:4" x14ac:dyDescent="0.25">
      <c r="A77" s="119">
        <v>11</v>
      </c>
      <c r="B77" s="106"/>
      <c r="C77" s="107"/>
      <c r="D77" s="118">
        <f t="shared" si="16"/>
        <v>0</v>
      </c>
    </row>
    <row r="78" spans="1:4" x14ac:dyDescent="0.25">
      <c r="A78" s="120"/>
      <c r="B78" s="155" t="s">
        <v>973</v>
      </c>
      <c r="C78" s="161">
        <f>SUM(C67:C77)</f>
        <v>0</v>
      </c>
      <c r="D78" s="162">
        <f>SUM(D67:D77)</f>
        <v>0</v>
      </c>
    </row>
    <row r="79" spans="1:4" ht="15.75" thickBot="1" x14ac:dyDescent="0.3">
      <c r="A79" s="121"/>
      <c r="B79" s="163" t="s">
        <v>975</v>
      </c>
      <c r="C79" s="164">
        <f>C78*12</f>
        <v>0</v>
      </c>
      <c r="D79" s="165"/>
    </row>
    <row r="81" spans="1:16" ht="15.75" thickBot="1" x14ac:dyDescent="0.3"/>
    <row r="82" spans="1:16" x14ac:dyDescent="0.25">
      <c r="A82" s="680" t="s">
        <v>983</v>
      </c>
      <c r="B82" s="686"/>
      <c r="C82" s="681"/>
    </row>
    <row r="83" spans="1:16" x14ac:dyDescent="0.25">
      <c r="A83" s="682"/>
      <c r="B83" s="687"/>
      <c r="C83" s="683"/>
    </row>
    <row r="84" spans="1:16" x14ac:dyDescent="0.25">
      <c r="A84" s="682"/>
      <c r="B84" s="687"/>
      <c r="C84" s="683"/>
    </row>
    <row r="85" spans="1:16" x14ac:dyDescent="0.25">
      <c r="A85" s="682"/>
      <c r="B85" s="687"/>
      <c r="C85" s="683"/>
    </row>
    <row r="86" spans="1:16" x14ac:dyDescent="0.25">
      <c r="A86" s="682"/>
      <c r="B86" s="687"/>
      <c r="C86" s="683"/>
    </row>
    <row r="87" spans="1:16" x14ac:dyDescent="0.25">
      <c r="A87" s="682"/>
      <c r="B87" s="687"/>
      <c r="C87" s="683"/>
    </row>
    <row r="88" spans="1:16" ht="15.75" thickBot="1" x14ac:dyDescent="0.3">
      <c r="A88" s="684"/>
      <c r="B88" s="688"/>
      <c r="C88" s="685"/>
    </row>
    <row r="91" spans="1:16" x14ac:dyDescent="0.25">
      <c r="D91" s="122" t="s">
        <v>984</v>
      </c>
    </row>
    <row r="93" spans="1:16" x14ac:dyDescent="0.25">
      <c r="A93" s="690" t="s">
        <v>959</v>
      </c>
      <c r="B93" s="690"/>
      <c r="C93" s="690"/>
    </row>
    <row r="96" spans="1:16" ht="28.15" customHeight="1" x14ac:dyDescent="0.25">
      <c r="A96" s="100" t="s">
        <v>960</v>
      </c>
      <c r="B96" s="100" t="s">
        <v>961</v>
      </c>
      <c r="C96" s="100" t="s">
        <v>962</v>
      </c>
      <c r="D96" s="100" t="s">
        <v>963</v>
      </c>
      <c r="E96" s="100" t="s">
        <v>980</v>
      </c>
      <c r="F96" s="100" t="s">
        <v>965</v>
      </c>
      <c r="G96" s="100" t="s">
        <v>966</v>
      </c>
      <c r="H96" s="100" t="s">
        <v>967</v>
      </c>
      <c r="I96" s="100" t="s">
        <v>968</v>
      </c>
      <c r="J96" s="100" t="s">
        <v>969</v>
      </c>
      <c r="K96" s="100"/>
      <c r="L96" s="100" t="s">
        <v>970</v>
      </c>
      <c r="M96" s="100" t="s">
        <v>971</v>
      </c>
      <c r="N96" s="100" t="s">
        <v>972</v>
      </c>
      <c r="O96" s="100" t="s">
        <v>973</v>
      </c>
      <c r="P96" s="100" t="s">
        <v>974</v>
      </c>
    </row>
    <row r="97" spans="1:16" x14ac:dyDescent="0.25">
      <c r="A97" s="110"/>
      <c r="B97" s="110"/>
      <c r="C97" s="110"/>
      <c r="D97" s="110"/>
      <c r="E97" s="123"/>
      <c r="F97" s="124">
        <f>F49</f>
        <v>8.3299999999999999E-2</v>
      </c>
      <c r="G97" s="124">
        <f>G49</f>
        <v>0.12</v>
      </c>
      <c r="H97" s="124">
        <f>H49</f>
        <v>8.3299999999999999E-2</v>
      </c>
      <c r="I97" s="124">
        <f>I49</f>
        <v>4.1700000000000001E-2</v>
      </c>
      <c r="J97" s="124">
        <f>J49</f>
        <v>0.08</v>
      </c>
      <c r="K97" s="124"/>
      <c r="L97" s="125">
        <f>L49</f>
        <v>0.12</v>
      </c>
      <c r="M97" s="124">
        <f>M49</f>
        <v>8.5000000000000006E-2</v>
      </c>
      <c r="N97" s="124">
        <f>N49</f>
        <v>5.2199999999999998E-3</v>
      </c>
      <c r="O97" s="123"/>
      <c r="P97" s="123"/>
    </row>
    <row r="98" spans="1:16" x14ac:dyDescent="0.25">
      <c r="A98" s="109">
        <v>1</v>
      </c>
      <c r="B98" s="106"/>
      <c r="C98" s="107"/>
      <c r="D98" s="107"/>
      <c r="E98" s="126">
        <f>C98+D98</f>
        <v>0</v>
      </c>
      <c r="F98" s="126">
        <f>C98*$F$97</f>
        <v>0</v>
      </c>
      <c r="G98" s="126">
        <f>C98*$G$97</f>
        <v>0</v>
      </c>
      <c r="H98" s="126">
        <f>C98*$H$97</f>
        <v>0</v>
      </c>
      <c r="I98" s="126">
        <f>C98*$I$97</f>
        <v>0</v>
      </c>
      <c r="J98" s="126">
        <f>C98*$J$97</f>
        <v>0</v>
      </c>
      <c r="K98" s="126"/>
      <c r="L98" s="126">
        <f t="shared" ref="L98:L107" si="17">C98*$L$97</f>
        <v>0</v>
      </c>
      <c r="M98" s="126">
        <f t="shared" ref="M98:M107" si="18">C98*$M$97</f>
        <v>0</v>
      </c>
      <c r="N98" s="126">
        <f t="shared" ref="N98:N107" si="19">C98*$N$97</f>
        <v>0</v>
      </c>
      <c r="O98" s="126">
        <f t="shared" ref="O98:O107" si="20">SUM(E98:N98)</f>
        <v>0</v>
      </c>
      <c r="P98" s="126">
        <f>O98*12</f>
        <v>0</v>
      </c>
    </row>
    <row r="99" spans="1:16" x14ac:dyDescent="0.25">
      <c r="A99" s="109">
        <v>2</v>
      </c>
      <c r="B99" s="106"/>
      <c r="C99" s="107"/>
      <c r="D99" s="107"/>
      <c r="E99" s="126">
        <f t="shared" ref="E99:E107" si="21">C99+D99</f>
        <v>0</v>
      </c>
      <c r="F99" s="126">
        <f t="shared" ref="F99:F107" si="22">C99*$F$97</f>
        <v>0</v>
      </c>
      <c r="G99" s="126">
        <f t="shared" ref="G99:G107" si="23">C99*$G$97</f>
        <v>0</v>
      </c>
      <c r="H99" s="126">
        <f t="shared" ref="H99:H107" si="24">C99*$H$97</f>
        <v>0</v>
      </c>
      <c r="I99" s="126">
        <f t="shared" ref="I99:I107" si="25">C99*$I$97</f>
        <v>0</v>
      </c>
      <c r="J99" s="126">
        <f t="shared" ref="J99:J107" si="26">C99*$J$97</f>
        <v>0</v>
      </c>
      <c r="K99" s="126"/>
      <c r="L99" s="126">
        <f t="shared" si="17"/>
        <v>0</v>
      </c>
      <c r="M99" s="126">
        <f t="shared" si="18"/>
        <v>0</v>
      </c>
      <c r="N99" s="126">
        <f t="shared" si="19"/>
        <v>0</v>
      </c>
      <c r="O99" s="126">
        <f t="shared" si="20"/>
        <v>0</v>
      </c>
      <c r="P99" s="126">
        <f t="shared" ref="P99:P107" si="27">O99*12</f>
        <v>0</v>
      </c>
    </row>
    <row r="100" spans="1:16" x14ac:dyDescent="0.25">
      <c r="A100" s="109">
        <v>3</v>
      </c>
      <c r="B100" s="106"/>
      <c r="C100" s="107"/>
      <c r="D100" s="107"/>
      <c r="E100" s="126">
        <f t="shared" si="21"/>
        <v>0</v>
      </c>
      <c r="F100" s="126">
        <f t="shared" si="22"/>
        <v>0</v>
      </c>
      <c r="G100" s="126">
        <f t="shared" si="23"/>
        <v>0</v>
      </c>
      <c r="H100" s="126">
        <f t="shared" si="24"/>
        <v>0</v>
      </c>
      <c r="I100" s="126">
        <f t="shared" si="25"/>
        <v>0</v>
      </c>
      <c r="J100" s="126">
        <f t="shared" si="26"/>
        <v>0</v>
      </c>
      <c r="K100" s="126"/>
      <c r="L100" s="126">
        <f t="shared" si="17"/>
        <v>0</v>
      </c>
      <c r="M100" s="126">
        <f t="shared" si="18"/>
        <v>0</v>
      </c>
      <c r="N100" s="126">
        <f t="shared" si="19"/>
        <v>0</v>
      </c>
      <c r="O100" s="126">
        <f t="shared" si="20"/>
        <v>0</v>
      </c>
      <c r="P100" s="126">
        <f t="shared" si="27"/>
        <v>0</v>
      </c>
    </row>
    <row r="101" spans="1:16" x14ac:dyDescent="0.25">
      <c r="A101" s="109">
        <v>4</v>
      </c>
      <c r="B101" s="106"/>
      <c r="C101" s="107"/>
      <c r="D101" s="107"/>
      <c r="E101" s="126">
        <f t="shared" si="21"/>
        <v>0</v>
      </c>
      <c r="F101" s="126">
        <f t="shared" si="22"/>
        <v>0</v>
      </c>
      <c r="G101" s="126">
        <f t="shared" si="23"/>
        <v>0</v>
      </c>
      <c r="H101" s="126">
        <f t="shared" si="24"/>
        <v>0</v>
      </c>
      <c r="I101" s="126">
        <f t="shared" si="25"/>
        <v>0</v>
      </c>
      <c r="J101" s="126">
        <f t="shared" si="26"/>
        <v>0</v>
      </c>
      <c r="K101" s="126"/>
      <c r="L101" s="126">
        <f t="shared" si="17"/>
        <v>0</v>
      </c>
      <c r="M101" s="126">
        <f t="shared" si="18"/>
        <v>0</v>
      </c>
      <c r="N101" s="126">
        <f t="shared" si="19"/>
        <v>0</v>
      </c>
      <c r="O101" s="126">
        <f t="shared" si="20"/>
        <v>0</v>
      </c>
      <c r="P101" s="126">
        <f t="shared" si="27"/>
        <v>0</v>
      </c>
    </row>
    <row r="102" spans="1:16" x14ac:dyDescent="0.25">
      <c r="A102" s="109">
        <v>5</v>
      </c>
      <c r="B102" s="106"/>
      <c r="C102" s="107"/>
      <c r="D102" s="107"/>
      <c r="E102" s="126">
        <f t="shared" si="21"/>
        <v>0</v>
      </c>
      <c r="F102" s="126">
        <f t="shared" si="22"/>
        <v>0</v>
      </c>
      <c r="G102" s="126">
        <f t="shared" si="23"/>
        <v>0</v>
      </c>
      <c r="H102" s="126">
        <f t="shared" si="24"/>
        <v>0</v>
      </c>
      <c r="I102" s="126">
        <f t="shared" si="25"/>
        <v>0</v>
      </c>
      <c r="J102" s="126">
        <f t="shared" si="26"/>
        <v>0</v>
      </c>
      <c r="K102" s="126"/>
      <c r="L102" s="126">
        <f t="shared" si="17"/>
        <v>0</v>
      </c>
      <c r="M102" s="126">
        <f t="shared" si="18"/>
        <v>0</v>
      </c>
      <c r="N102" s="126">
        <f t="shared" si="19"/>
        <v>0</v>
      </c>
      <c r="O102" s="126">
        <f t="shared" si="20"/>
        <v>0</v>
      </c>
      <c r="P102" s="126">
        <f t="shared" si="27"/>
        <v>0</v>
      </c>
    </row>
    <row r="103" spans="1:16" x14ac:dyDescent="0.25">
      <c r="A103" s="109">
        <v>6</v>
      </c>
      <c r="B103" s="106"/>
      <c r="C103" s="107"/>
      <c r="D103" s="107"/>
      <c r="E103" s="126">
        <f t="shared" si="21"/>
        <v>0</v>
      </c>
      <c r="F103" s="126">
        <f t="shared" si="22"/>
        <v>0</v>
      </c>
      <c r="G103" s="126">
        <f t="shared" si="23"/>
        <v>0</v>
      </c>
      <c r="H103" s="126">
        <f t="shared" si="24"/>
        <v>0</v>
      </c>
      <c r="I103" s="126">
        <f t="shared" si="25"/>
        <v>0</v>
      </c>
      <c r="J103" s="126">
        <f t="shared" si="26"/>
        <v>0</v>
      </c>
      <c r="K103" s="126"/>
      <c r="L103" s="126">
        <f t="shared" si="17"/>
        <v>0</v>
      </c>
      <c r="M103" s="126">
        <f t="shared" si="18"/>
        <v>0</v>
      </c>
      <c r="N103" s="126">
        <f t="shared" si="19"/>
        <v>0</v>
      </c>
      <c r="O103" s="126">
        <f t="shared" si="20"/>
        <v>0</v>
      </c>
      <c r="P103" s="126">
        <f t="shared" si="27"/>
        <v>0</v>
      </c>
    </row>
    <row r="104" spans="1:16" x14ac:dyDescent="0.25">
      <c r="A104" s="109">
        <v>7</v>
      </c>
      <c r="B104" s="106"/>
      <c r="C104" s="107"/>
      <c r="D104" s="107"/>
      <c r="E104" s="126">
        <f t="shared" si="21"/>
        <v>0</v>
      </c>
      <c r="F104" s="126">
        <f t="shared" si="22"/>
        <v>0</v>
      </c>
      <c r="G104" s="126">
        <f t="shared" si="23"/>
        <v>0</v>
      </c>
      <c r="H104" s="126">
        <f t="shared" si="24"/>
        <v>0</v>
      </c>
      <c r="I104" s="126">
        <f t="shared" si="25"/>
        <v>0</v>
      </c>
      <c r="J104" s="126">
        <f t="shared" si="26"/>
        <v>0</v>
      </c>
      <c r="K104" s="126"/>
      <c r="L104" s="126">
        <f t="shared" si="17"/>
        <v>0</v>
      </c>
      <c r="M104" s="126">
        <f t="shared" si="18"/>
        <v>0</v>
      </c>
      <c r="N104" s="126">
        <f t="shared" si="19"/>
        <v>0</v>
      </c>
      <c r="O104" s="126">
        <f t="shared" si="20"/>
        <v>0</v>
      </c>
      <c r="P104" s="126">
        <f t="shared" si="27"/>
        <v>0</v>
      </c>
    </row>
    <row r="105" spans="1:16" x14ac:dyDescent="0.25">
      <c r="A105" s="109">
        <v>8</v>
      </c>
      <c r="B105" s="106"/>
      <c r="C105" s="107"/>
      <c r="D105" s="107"/>
      <c r="E105" s="126">
        <f t="shared" si="21"/>
        <v>0</v>
      </c>
      <c r="F105" s="126">
        <f t="shared" si="22"/>
        <v>0</v>
      </c>
      <c r="G105" s="126">
        <f t="shared" si="23"/>
        <v>0</v>
      </c>
      <c r="H105" s="126">
        <f t="shared" si="24"/>
        <v>0</v>
      </c>
      <c r="I105" s="126">
        <f t="shared" si="25"/>
        <v>0</v>
      </c>
      <c r="J105" s="126">
        <f t="shared" si="26"/>
        <v>0</v>
      </c>
      <c r="K105" s="126"/>
      <c r="L105" s="126">
        <f t="shared" si="17"/>
        <v>0</v>
      </c>
      <c r="M105" s="126">
        <f t="shared" si="18"/>
        <v>0</v>
      </c>
      <c r="N105" s="126">
        <f t="shared" si="19"/>
        <v>0</v>
      </c>
      <c r="O105" s="126">
        <f t="shared" si="20"/>
        <v>0</v>
      </c>
      <c r="P105" s="126">
        <f t="shared" si="27"/>
        <v>0</v>
      </c>
    </row>
    <row r="106" spans="1:16" x14ac:dyDescent="0.25">
      <c r="A106" s="109">
        <v>9</v>
      </c>
      <c r="B106" s="106"/>
      <c r="C106" s="107"/>
      <c r="D106" s="107"/>
      <c r="E106" s="126">
        <f t="shared" si="21"/>
        <v>0</v>
      </c>
      <c r="F106" s="126">
        <f t="shared" si="22"/>
        <v>0</v>
      </c>
      <c r="G106" s="126">
        <f t="shared" si="23"/>
        <v>0</v>
      </c>
      <c r="H106" s="126">
        <f t="shared" si="24"/>
        <v>0</v>
      </c>
      <c r="I106" s="126">
        <f t="shared" si="25"/>
        <v>0</v>
      </c>
      <c r="J106" s="126">
        <f t="shared" si="26"/>
        <v>0</v>
      </c>
      <c r="K106" s="126"/>
      <c r="L106" s="126">
        <f t="shared" si="17"/>
        <v>0</v>
      </c>
      <c r="M106" s="126">
        <f t="shared" si="18"/>
        <v>0</v>
      </c>
      <c r="N106" s="126">
        <f t="shared" si="19"/>
        <v>0</v>
      </c>
      <c r="O106" s="126">
        <f t="shared" si="20"/>
        <v>0</v>
      </c>
      <c r="P106" s="126">
        <f t="shared" si="27"/>
        <v>0</v>
      </c>
    </row>
    <row r="107" spans="1:16" x14ac:dyDescent="0.25">
      <c r="A107" s="109">
        <v>10</v>
      </c>
      <c r="B107" s="106"/>
      <c r="C107" s="107"/>
      <c r="D107" s="107"/>
      <c r="E107" s="126">
        <f t="shared" si="21"/>
        <v>0</v>
      </c>
      <c r="F107" s="126">
        <f t="shared" si="22"/>
        <v>0</v>
      </c>
      <c r="G107" s="126">
        <f t="shared" si="23"/>
        <v>0</v>
      </c>
      <c r="H107" s="126">
        <f t="shared" si="24"/>
        <v>0</v>
      </c>
      <c r="I107" s="126">
        <f t="shared" si="25"/>
        <v>0</v>
      </c>
      <c r="J107" s="126">
        <f t="shared" si="26"/>
        <v>0</v>
      </c>
      <c r="K107" s="126"/>
      <c r="L107" s="126">
        <f t="shared" si="17"/>
        <v>0</v>
      </c>
      <c r="M107" s="126">
        <f t="shared" si="18"/>
        <v>0</v>
      </c>
      <c r="N107" s="126">
        <f t="shared" si="19"/>
        <v>0</v>
      </c>
      <c r="O107" s="126">
        <f t="shared" si="20"/>
        <v>0</v>
      </c>
      <c r="P107" s="126">
        <f t="shared" si="27"/>
        <v>0</v>
      </c>
    </row>
    <row r="108" spans="1:16" x14ac:dyDescent="0.25">
      <c r="A108" s="110"/>
      <c r="B108" s="155" t="s">
        <v>973</v>
      </c>
      <c r="C108" s="158">
        <f>SUM(C98:C107)</f>
        <v>0</v>
      </c>
      <c r="D108" s="158">
        <f t="shared" ref="D108:P108" si="28">SUM(D98:D107)</f>
        <v>0</v>
      </c>
      <c r="E108" s="158">
        <f t="shared" si="28"/>
        <v>0</v>
      </c>
      <c r="F108" s="158">
        <f t="shared" si="28"/>
        <v>0</v>
      </c>
      <c r="G108" s="158">
        <f t="shared" si="28"/>
        <v>0</v>
      </c>
      <c r="H108" s="158">
        <f t="shared" si="28"/>
        <v>0</v>
      </c>
      <c r="I108" s="158">
        <f t="shared" si="28"/>
        <v>0</v>
      </c>
      <c r="J108" s="158">
        <f t="shared" si="28"/>
        <v>0</v>
      </c>
      <c r="K108" s="158"/>
      <c r="L108" s="158">
        <f t="shared" si="28"/>
        <v>0</v>
      </c>
      <c r="M108" s="158">
        <f t="shared" si="28"/>
        <v>0</v>
      </c>
      <c r="N108" s="158">
        <f t="shared" si="28"/>
        <v>0</v>
      </c>
      <c r="O108" s="158">
        <f t="shared" si="28"/>
        <v>0</v>
      </c>
      <c r="P108" s="158">
        <f t="shared" si="28"/>
        <v>0</v>
      </c>
    </row>
    <row r="109" spans="1:16" x14ac:dyDescent="0.25">
      <c r="A109" s="110"/>
      <c r="B109" s="155" t="s">
        <v>974</v>
      </c>
      <c r="C109" s="158">
        <f>C108*12</f>
        <v>0</v>
      </c>
      <c r="D109" s="158">
        <f t="shared" ref="D109:O109" si="29">D108*12</f>
        <v>0</v>
      </c>
      <c r="E109" s="158">
        <f t="shared" si="29"/>
        <v>0</v>
      </c>
      <c r="F109" s="158">
        <f t="shared" si="29"/>
        <v>0</v>
      </c>
      <c r="G109" s="158">
        <f t="shared" si="29"/>
        <v>0</v>
      </c>
      <c r="H109" s="158">
        <f t="shared" si="29"/>
        <v>0</v>
      </c>
      <c r="I109" s="158">
        <f t="shared" si="29"/>
        <v>0</v>
      </c>
      <c r="J109" s="158">
        <f t="shared" si="29"/>
        <v>0</v>
      </c>
      <c r="K109" s="158"/>
      <c r="L109" s="158">
        <f t="shared" si="29"/>
        <v>0</v>
      </c>
      <c r="M109" s="158">
        <f t="shared" si="29"/>
        <v>0</v>
      </c>
      <c r="N109" s="158">
        <f t="shared" si="29"/>
        <v>0</v>
      </c>
      <c r="O109" s="158">
        <f t="shared" si="29"/>
        <v>0</v>
      </c>
      <c r="P109" s="158"/>
    </row>
    <row r="112" spans="1:16" x14ac:dyDescent="0.25">
      <c r="A112" s="690" t="s">
        <v>976</v>
      </c>
      <c r="B112" s="690"/>
      <c r="C112" s="690"/>
    </row>
    <row r="113" spans="1:12" ht="15.75" thickBot="1" x14ac:dyDescent="0.3"/>
    <row r="114" spans="1:12" x14ac:dyDescent="0.25">
      <c r="A114" s="166" t="s">
        <v>960</v>
      </c>
      <c r="B114" s="167" t="s">
        <v>961</v>
      </c>
      <c r="C114" s="167" t="s">
        <v>962</v>
      </c>
      <c r="D114" s="168" t="s">
        <v>977</v>
      </c>
    </row>
    <row r="115" spans="1:12" x14ac:dyDescent="0.25">
      <c r="A115" s="127">
        <v>1</v>
      </c>
      <c r="B115" s="106"/>
      <c r="C115" s="107"/>
      <c r="D115" s="128">
        <f>C115*12</f>
        <v>0</v>
      </c>
    </row>
    <row r="116" spans="1:12" x14ac:dyDescent="0.25">
      <c r="A116" s="127">
        <v>2</v>
      </c>
      <c r="B116" s="106"/>
      <c r="C116" s="107"/>
      <c r="D116" s="128"/>
    </row>
    <row r="117" spans="1:12" x14ac:dyDescent="0.25">
      <c r="A117" s="127">
        <v>3</v>
      </c>
      <c r="B117" s="106"/>
      <c r="C117" s="107"/>
      <c r="D117" s="128"/>
    </row>
    <row r="118" spans="1:12" x14ac:dyDescent="0.25">
      <c r="A118" s="127">
        <v>4</v>
      </c>
      <c r="B118" s="106"/>
      <c r="C118" s="107"/>
      <c r="D118" s="128"/>
    </row>
    <row r="119" spans="1:12" x14ac:dyDescent="0.25">
      <c r="A119" s="127">
        <v>5</v>
      </c>
      <c r="B119" s="106"/>
      <c r="C119" s="107"/>
      <c r="D119" s="128"/>
    </row>
    <row r="120" spans="1:12" x14ac:dyDescent="0.25">
      <c r="A120" s="127">
        <v>6</v>
      </c>
      <c r="B120" s="106"/>
      <c r="C120" s="107"/>
      <c r="D120" s="128"/>
    </row>
    <row r="121" spans="1:12" x14ac:dyDescent="0.25">
      <c r="A121" s="127">
        <v>7</v>
      </c>
      <c r="B121" s="106"/>
      <c r="C121" s="107"/>
      <c r="D121" s="128"/>
    </row>
    <row r="122" spans="1:12" x14ac:dyDescent="0.25">
      <c r="A122" s="127">
        <v>8</v>
      </c>
      <c r="B122" s="106"/>
      <c r="C122" s="107"/>
      <c r="D122" s="128"/>
    </row>
    <row r="123" spans="1:12" x14ac:dyDescent="0.25">
      <c r="A123" s="127">
        <v>9</v>
      </c>
      <c r="B123" s="106"/>
      <c r="C123" s="107"/>
      <c r="D123" s="128"/>
    </row>
    <row r="124" spans="1:12" x14ac:dyDescent="0.25">
      <c r="A124" s="127">
        <v>10</v>
      </c>
      <c r="B124" s="106"/>
      <c r="C124" s="107"/>
      <c r="D124" s="128"/>
    </row>
    <row r="125" spans="1:12" ht="15.75" thickBot="1" x14ac:dyDescent="0.3">
      <c r="A125" s="127">
        <v>11</v>
      </c>
      <c r="B125" s="106"/>
      <c r="C125" s="107"/>
      <c r="D125" s="128"/>
    </row>
    <row r="126" spans="1:12" x14ac:dyDescent="0.25">
      <c r="A126" s="120"/>
      <c r="B126" s="155" t="s">
        <v>973</v>
      </c>
      <c r="C126" s="158">
        <f>SUM(C115:C125)</f>
        <v>0</v>
      </c>
      <c r="D126" s="169">
        <f>SUM(D115:D125)</f>
        <v>0</v>
      </c>
      <c r="G126" s="680" t="s">
        <v>985</v>
      </c>
      <c r="H126" s="686"/>
      <c r="I126" s="686"/>
      <c r="J126" s="686"/>
      <c r="K126" s="686"/>
      <c r="L126" s="681"/>
    </row>
    <row r="127" spans="1:12" ht="15.75" thickBot="1" x14ac:dyDescent="0.3">
      <c r="A127" s="121"/>
      <c r="B127" s="163" t="s">
        <v>975</v>
      </c>
      <c r="C127" s="170">
        <f>C126*12</f>
        <v>0</v>
      </c>
      <c r="D127" s="165"/>
      <c r="G127" s="682"/>
      <c r="H127" s="687"/>
      <c r="I127" s="687"/>
      <c r="J127" s="687"/>
      <c r="K127" s="687"/>
      <c r="L127" s="683"/>
    </row>
    <row r="128" spans="1:12" x14ac:dyDescent="0.25">
      <c r="G128" s="682"/>
      <c r="H128" s="687"/>
      <c r="I128" s="687"/>
      <c r="J128" s="687"/>
      <c r="K128" s="687"/>
      <c r="L128" s="683"/>
    </row>
    <row r="129" spans="1:12" ht="15.75" thickBot="1" x14ac:dyDescent="0.3">
      <c r="G129" s="682"/>
      <c r="H129" s="687"/>
      <c r="I129" s="687"/>
      <c r="J129" s="687"/>
      <c r="K129" s="687"/>
      <c r="L129" s="683"/>
    </row>
    <row r="130" spans="1:12" ht="15.75" thickBot="1" x14ac:dyDescent="0.3">
      <c r="A130" s="680" t="s">
        <v>986</v>
      </c>
      <c r="B130" s="686"/>
      <c r="C130" s="681"/>
      <c r="G130" s="684"/>
      <c r="H130" s="688"/>
      <c r="I130" s="688"/>
      <c r="J130" s="688"/>
      <c r="K130" s="688"/>
      <c r="L130" s="685"/>
    </row>
    <row r="131" spans="1:12" x14ac:dyDescent="0.25">
      <c r="A131" s="682"/>
      <c r="B131" s="687"/>
      <c r="C131" s="683"/>
    </row>
    <row r="132" spans="1:12" ht="15.75" thickBot="1" x14ac:dyDescent="0.3">
      <c r="A132" s="684"/>
      <c r="B132" s="688"/>
      <c r="C132" s="685"/>
    </row>
    <row r="133" spans="1:12" ht="15.75" thickBot="1" x14ac:dyDescent="0.3"/>
    <row r="134" spans="1:12" x14ac:dyDescent="0.25">
      <c r="A134" s="166" t="s">
        <v>987</v>
      </c>
      <c r="B134" s="167" t="s">
        <v>988</v>
      </c>
      <c r="C134" s="168" t="s">
        <v>989</v>
      </c>
    </row>
    <row r="135" spans="1:12" ht="15.75" thickBot="1" x14ac:dyDescent="0.3">
      <c r="A135" s="129"/>
      <c r="B135" s="130"/>
      <c r="C135" s="131">
        <f>B135*12</f>
        <v>0</v>
      </c>
    </row>
    <row r="136" spans="1:12" x14ac:dyDescent="0.25">
      <c r="A136" s="129"/>
      <c r="B136" s="130"/>
      <c r="C136" s="131">
        <f t="shared" ref="C136:C161" si="30">B136*12</f>
        <v>0</v>
      </c>
      <c r="G136" s="166" t="s">
        <v>990</v>
      </c>
      <c r="H136" s="171" t="str">
        <f>BASES!D11</f>
        <v>AÑO 1</v>
      </c>
      <c r="I136" s="171" t="str">
        <f>BASES!E11</f>
        <v>AÑO 2</v>
      </c>
      <c r="J136" s="171" t="str">
        <f>BASES!F11</f>
        <v>AÑO 3</v>
      </c>
      <c r="K136" s="171" t="str">
        <f>BASES!G11</f>
        <v>AÑO 4</v>
      </c>
      <c r="L136" s="171" t="str">
        <f>BASES!H11</f>
        <v>AÑO 5</v>
      </c>
    </row>
    <row r="137" spans="1:12" x14ac:dyDescent="0.25">
      <c r="A137" s="129"/>
      <c r="B137" s="130"/>
      <c r="C137" s="131">
        <f t="shared" si="30"/>
        <v>0</v>
      </c>
      <c r="G137" s="132" t="s">
        <v>991</v>
      </c>
      <c r="H137" s="133"/>
      <c r="I137" s="133"/>
      <c r="J137" s="133"/>
      <c r="K137" s="133"/>
      <c r="L137" s="133"/>
    </row>
    <row r="138" spans="1:12" ht="27" customHeight="1" x14ac:dyDescent="0.25">
      <c r="A138" s="129"/>
      <c r="B138" s="130"/>
      <c r="C138" s="131">
        <f t="shared" si="30"/>
        <v>0</v>
      </c>
      <c r="G138" s="134" t="s">
        <v>992</v>
      </c>
      <c r="H138" s="133"/>
      <c r="I138" s="133"/>
      <c r="J138" s="133"/>
      <c r="K138" s="133"/>
      <c r="L138" s="133"/>
    </row>
    <row r="139" spans="1:12" x14ac:dyDescent="0.25">
      <c r="A139" s="129"/>
      <c r="B139" s="130"/>
      <c r="C139" s="131">
        <f t="shared" si="30"/>
        <v>0</v>
      </c>
      <c r="G139" s="135" t="s">
        <v>993</v>
      </c>
      <c r="H139" s="133"/>
      <c r="I139" s="133"/>
      <c r="J139" s="133"/>
      <c r="K139" s="133"/>
      <c r="L139" s="133"/>
    </row>
    <row r="140" spans="1:12" ht="25.9" customHeight="1" x14ac:dyDescent="0.25">
      <c r="A140" s="129"/>
      <c r="B140" s="130"/>
      <c r="C140" s="131">
        <f t="shared" si="30"/>
        <v>0</v>
      </c>
      <c r="G140" s="136" t="s">
        <v>994</v>
      </c>
      <c r="H140" s="172"/>
      <c r="I140" s="172"/>
      <c r="J140" s="172"/>
      <c r="K140" s="172"/>
      <c r="L140" s="172"/>
    </row>
    <row r="141" spans="1:12" ht="15.75" thickBot="1" x14ac:dyDescent="0.3">
      <c r="A141" s="129"/>
      <c r="B141" s="130"/>
      <c r="C141" s="131">
        <f t="shared" si="30"/>
        <v>0</v>
      </c>
      <c r="G141" s="137" t="s">
        <v>995</v>
      </c>
      <c r="H141" s="170">
        <f>SUM(H137:H140)</f>
        <v>0</v>
      </c>
      <c r="I141" s="170">
        <f>SUM(I137:I140)</f>
        <v>0</v>
      </c>
      <c r="J141" s="170">
        <f>SUM(J137:J140)</f>
        <v>0</v>
      </c>
      <c r="K141" s="173">
        <f>SUM(K137:K140)</f>
        <v>0</v>
      </c>
      <c r="L141" s="174">
        <f>SUM(L137:L140)</f>
        <v>0</v>
      </c>
    </row>
    <row r="142" spans="1:12" x14ac:dyDescent="0.25">
      <c r="A142" s="129"/>
      <c r="B142" s="130"/>
      <c r="C142" s="131">
        <f t="shared" si="30"/>
        <v>0</v>
      </c>
    </row>
    <row r="143" spans="1:12" x14ac:dyDescent="0.25">
      <c r="A143" s="129"/>
      <c r="B143" s="130"/>
      <c r="C143" s="131">
        <f t="shared" si="30"/>
        <v>0</v>
      </c>
    </row>
    <row r="144" spans="1:12" x14ac:dyDescent="0.25">
      <c r="A144" s="129"/>
      <c r="B144" s="130"/>
      <c r="C144" s="131">
        <f t="shared" si="30"/>
        <v>0</v>
      </c>
    </row>
    <row r="145" spans="1:3" x14ac:dyDescent="0.25">
      <c r="A145" s="129"/>
      <c r="B145" s="130"/>
      <c r="C145" s="131">
        <f t="shared" si="30"/>
        <v>0</v>
      </c>
    </row>
    <row r="146" spans="1:3" x14ac:dyDescent="0.25">
      <c r="A146" s="129"/>
      <c r="B146" s="130"/>
      <c r="C146" s="131">
        <f t="shared" si="30"/>
        <v>0</v>
      </c>
    </row>
    <row r="147" spans="1:3" x14ac:dyDescent="0.25">
      <c r="A147" s="129"/>
      <c r="B147" s="130"/>
      <c r="C147" s="131">
        <f t="shared" si="30"/>
        <v>0</v>
      </c>
    </row>
    <row r="148" spans="1:3" x14ac:dyDescent="0.25">
      <c r="A148" s="129"/>
      <c r="B148" s="130"/>
      <c r="C148" s="131">
        <f t="shared" si="30"/>
        <v>0</v>
      </c>
    </row>
    <row r="149" spans="1:3" x14ac:dyDescent="0.25">
      <c r="A149" s="129"/>
      <c r="B149" s="130"/>
      <c r="C149" s="131">
        <f t="shared" si="30"/>
        <v>0</v>
      </c>
    </row>
    <row r="150" spans="1:3" x14ac:dyDescent="0.25">
      <c r="A150" s="129"/>
      <c r="B150" s="130"/>
      <c r="C150" s="131">
        <f t="shared" si="30"/>
        <v>0</v>
      </c>
    </row>
    <row r="151" spans="1:3" x14ac:dyDescent="0.25">
      <c r="A151" s="129"/>
      <c r="B151" s="130"/>
      <c r="C151" s="131">
        <f t="shared" si="30"/>
        <v>0</v>
      </c>
    </row>
    <row r="152" spans="1:3" x14ac:dyDescent="0.25">
      <c r="A152" s="129"/>
      <c r="B152" s="130"/>
      <c r="C152" s="131">
        <f t="shared" si="30"/>
        <v>0</v>
      </c>
    </row>
    <row r="153" spans="1:3" x14ac:dyDescent="0.25">
      <c r="A153" s="129"/>
      <c r="B153" s="130"/>
      <c r="C153" s="131">
        <f t="shared" si="30"/>
        <v>0</v>
      </c>
    </row>
    <row r="154" spans="1:3" x14ac:dyDescent="0.25">
      <c r="A154" s="129"/>
      <c r="B154" s="130"/>
      <c r="C154" s="131">
        <f t="shared" si="30"/>
        <v>0</v>
      </c>
    </row>
    <row r="155" spans="1:3" x14ac:dyDescent="0.25">
      <c r="A155" s="129"/>
      <c r="B155" s="130"/>
      <c r="C155" s="131">
        <f t="shared" si="30"/>
        <v>0</v>
      </c>
    </row>
    <row r="156" spans="1:3" x14ac:dyDescent="0.25">
      <c r="A156" s="129"/>
      <c r="B156" s="130"/>
      <c r="C156" s="131">
        <f t="shared" si="30"/>
        <v>0</v>
      </c>
    </row>
    <row r="157" spans="1:3" x14ac:dyDescent="0.25">
      <c r="A157" s="129"/>
      <c r="B157" s="130"/>
      <c r="C157" s="131">
        <f t="shared" si="30"/>
        <v>0</v>
      </c>
    </row>
    <row r="158" spans="1:3" x14ac:dyDescent="0.25">
      <c r="A158" s="129"/>
      <c r="B158" s="130"/>
      <c r="C158" s="131">
        <f t="shared" si="30"/>
        <v>0</v>
      </c>
    </row>
    <row r="159" spans="1:3" x14ac:dyDescent="0.25">
      <c r="A159" s="129"/>
      <c r="B159" s="130"/>
      <c r="C159" s="131">
        <f t="shared" si="30"/>
        <v>0</v>
      </c>
    </row>
    <row r="160" spans="1:3" x14ac:dyDescent="0.25">
      <c r="A160" s="129"/>
      <c r="B160" s="130"/>
      <c r="C160" s="131">
        <f t="shared" si="30"/>
        <v>0</v>
      </c>
    </row>
    <row r="161" spans="1:3" x14ac:dyDescent="0.25">
      <c r="A161" s="129"/>
      <c r="B161" s="130"/>
      <c r="C161" s="131">
        <f t="shared" si="30"/>
        <v>0</v>
      </c>
    </row>
    <row r="162" spans="1:3" ht="15.75" thickBot="1" x14ac:dyDescent="0.3">
      <c r="A162" s="175" t="s">
        <v>996</v>
      </c>
      <c r="B162" s="176"/>
      <c r="C162" s="174">
        <f>SUM(C135:C161)</f>
        <v>0</v>
      </c>
    </row>
  </sheetData>
  <mergeCells count="11">
    <mergeCell ref="A6:B9"/>
    <mergeCell ref="A41:C44"/>
    <mergeCell ref="A82:C88"/>
    <mergeCell ref="A130:C132"/>
    <mergeCell ref="G126:L130"/>
    <mergeCell ref="A64:E64"/>
    <mergeCell ref="A93:C93"/>
    <mergeCell ref="A112:C112"/>
    <mergeCell ref="A14:G14"/>
    <mergeCell ref="A22:P22"/>
    <mergeCell ref="A46:P46"/>
  </mergeCell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8"/>
  <dimension ref="B6:G32"/>
  <sheetViews>
    <sheetView showGridLines="0" zoomScaleNormal="100" workbookViewId="0"/>
  </sheetViews>
  <sheetFormatPr baseColWidth="10" defaultColWidth="11.42578125" defaultRowHeight="15" x14ac:dyDescent="0.25"/>
  <cols>
    <col min="1" max="1" width="11.42578125" style="99"/>
    <col min="2" max="2" width="11.28515625" style="99" bestFit="1" customWidth="1"/>
    <col min="3" max="3" width="45.5703125" style="99" customWidth="1"/>
    <col min="4" max="4" width="24.42578125" style="99" customWidth="1"/>
    <col min="5" max="5" width="24" style="99" bestFit="1" customWidth="1"/>
    <col min="6" max="6" width="13" style="99" bestFit="1" customWidth="1"/>
    <col min="7" max="7" width="24.7109375" style="99" bestFit="1" customWidth="1"/>
    <col min="8" max="16384" width="11.42578125" style="99"/>
  </cols>
  <sheetData>
    <row r="6" spans="2:5" ht="15.75" thickBot="1" x14ac:dyDescent="0.3"/>
    <row r="7" spans="2:5" x14ac:dyDescent="0.25">
      <c r="C7" s="177" t="s">
        <v>997</v>
      </c>
      <c r="D7" s="179">
        <f>'CTOS_VS_ING_OPER-INV_INFRAEST'!H249</f>
        <v>0</v>
      </c>
    </row>
    <row r="8" spans="2:5" ht="15.75" thickBot="1" x14ac:dyDescent="0.3">
      <c r="C8" s="178" t="s">
        <v>998</v>
      </c>
      <c r="D8" s="180">
        <f>'CTOS_VS_ING_OPER-INV_INFRAEST'!H237</f>
        <v>0</v>
      </c>
    </row>
    <row r="9" spans="2:5" ht="15.75" thickBot="1" x14ac:dyDescent="0.3">
      <c r="D9" s="183"/>
      <c r="E9" s="183"/>
    </row>
    <row r="10" spans="2:5" x14ac:dyDescent="0.25">
      <c r="B10" s="138"/>
      <c r="C10" s="139" t="s">
        <v>523</v>
      </c>
      <c r="D10" s="181" t="s">
        <v>999</v>
      </c>
      <c r="E10" s="182" t="s">
        <v>1000</v>
      </c>
    </row>
    <row r="11" spans="2:5" ht="15.75" thickBot="1" x14ac:dyDescent="0.3">
      <c r="B11" s="140" t="s">
        <v>1001</v>
      </c>
      <c r="C11" s="364" t="e">
        <f>COSTOS_DE_PRODUCCION!D176</f>
        <v>#N/A</v>
      </c>
      <c r="D11" s="142"/>
      <c r="E11" s="439" t="e">
        <f>(C11*12)/D11</f>
        <v>#N/A</v>
      </c>
    </row>
    <row r="12" spans="2:5" ht="15.75" thickBot="1" x14ac:dyDescent="0.3"/>
    <row r="13" spans="2:5" x14ac:dyDescent="0.25">
      <c r="B13" s="138"/>
      <c r="C13" s="139" t="s">
        <v>1002</v>
      </c>
      <c r="D13" s="181" t="s">
        <v>999</v>
      </c>
      <c r="E13" s="182" t="s">
        <v>1000</v>
      </c>
    </row>
    <row r="14" spans="2:5" ht="15.75" thickBot="1" x14ac:dyDescent="0.3">
      <c r="B14" s="140" t="s">
        <v>1001</v>
      </c>
      <c r="C14" s="141" t="e">
        <f>COSTOS_DE_PRODUCCION!D175</f>
        <v>#N/A</v>
      </c>
      <c r="D14" s="142"/>
      <c r="E14" s="439" t="e">
        <f>(C14*12)/D14</f>
        <v>#N/A</v>
      </c>
    </row>
    <row r="15" spans="2:5" ht="15.75" thickBot="1" x14ac:dyDescent="0.3"/>
    <row r="16" spans="2:5" x14ac:dyDescent="0.25">
      <c r="B16" s="138"/>
      <c r="C16" s="139" t="s">
        <v>832</v>
      </c>
      <c r="D16" s="181" t="s">
        <v>999</v>
      </c>
      <c r="E16" s="182" t="s">
        <v>1000</v>
      </c>
    </row>
    <row r="17" spans="2:7" ht="15.75" thickBot="1" x14ac:dyDescent="0.3">
      <c r="B17" s="140" t="s">
        <v>1001</v>
      </c>
      <c r="C17" s="141" t="e">
        <f>COSTOS_DE_PRODUCCION!D177</f>
        <v>#N/A</v>
      </c>
      <c r="D17" s="142"/>
      <c r="E17" s="439" t="e">
        <f>(C17*12)/D17</f>
        <v>#N/A</v>
      </c>
    </row>
    <row r="19" spans="2:7" x14ac:dyDescent="0.25">
      <c r="C19" s="691" t="s">
        <v>1003</v>
      </c>
      <c r="D19" s="691"/>
      <c r="E19" s="143" t="e">
        <f>D7+D8+E11+E14+E17</f>
        <v>#N/A</v>
      </c>
    </row>
    <row r="20" spans="2:7" ht="15.75" thickBot="1" x14ac:dyDescent="0.3">
      <c r="C20" s="691" t="s">
        <v>1004</v>
      </c>
      <c r="D20" s="691"/>
      <c r="E20" s="144"/>
    </row>
    <row r="21" spans="2:7" x14ac:dyDescent="0.25">
      <c r="C21" s="691" t="s">
        <v>1005</v>
      </c>
      <c r="D21" s="691"/>
      <c r="E21" s="145" t="e">
        <f>E19-E20</f>
        <v>#N/A</v>
      </c>
    </row>
    <row r="23" spans="2:7" x14ac:dyDescent="0.25">
      <c r="C23" s="109"/>
      <c r="D23" s="109" t="s">
        <v>973</v>
      </c>
      <c r="E23" s="109" t="s">
        <v>974</v>
      </c>
    </row>
    <row r="24" spans="2:7" x14ac:dyDescent="0.25">
      <c r="C24" s="109" t="s">
        <v>1006</v>
      </c>
      <c r="D24" s="151"/>
      <c r="E24" s="152">
        <f>((1+D24)^12)-1</f>
        <v>0</v>
      </c>
    </row>
    <row r="25" spans="2:7" ht="15.75" thickBot="1" x14ac:dyDescent="0.3"/>
    <row r="26" spans="2:7" x14ac:dyDescent="0.25">
      <c r="C26" s="146" t="s">
        <v>1007</v>
      </c>
      <c r="D26" s="147" t="s">
        <v>1008</v>
      </c>
      <c r="E26" s="147" t="s">
        <v>1009</v>
      </c>
      <c r="F26" s="147" t="s">
        <v>1010</v>
      </c>
      <c r="G26" s="148" t="s">
        <v>1011</v>
      </c>
    </row>
    <row r="27" spans="2:7" x14ac:dyDescent="0.25">
      <c r="C27" s="184" t="str">
        <f>BASES!C11</f>
        <v>AÑO 0</v>
      </c>
      <c r="D27" s="149"/>
      <c r="E27" s="149"/>
      <c r="F27" s="149"/>
      <c r="G27" s="150" t="e">
        <f>E21*-1</f>
        <v>#N/A</v>
      </c>
    </row>
    <row r="28" spans="2:7" x14ac:dyDescent="0.25">
      <c r="C28" s="185" t="str">
        <f>BASES!D11</f>
        <v>AÑO 1</v>
      </c>
      <c r="D28" s="149" t="e">
        <f>E28+F28</f>
        <v>#N/A</v>
      </c>
      <c r="E28" s="149" t="e">
        <f>$G$27/BASES!$G$28</f>
        <v>#N/A</v>
      </c>
      <c r="F28" s="149" t="e">
        <f>G27*$E$24</f>
        <v>#N/A</v>
      </c>
      <c r="G28" s="150" t="e">
        <f>G27-E28</f>
        <v>#N/A</v>
      </c>
    </row>
    <row r="29" spans="2:7" x14ac:dyDescent="0.25">
      <c r="C29" s="185" t="str">
        <f>BASES!E11</f>
        <v>AÑO 2</v>
      </c>
      <c r="D29" s="149" t="e">
        <f>E29+F29</f>
        <v>#N/A</v>
      </c>
      <c r="E29" s="149" t="e">
        <f>$G$27/BASES!$G$28</f>
        <v>#N/A</v>
      </c>
      <c r="F29" s="149" t="e">
        <f>G28*$E$24</f>
        <v>#N/A</v>
      </c>
      <c r="G29" s="150" t="e">
        <f>G28-E29</f>
        <v>#N/A</v>
      </c>
    </row>
    <row r="30" spans="2:7" x14ac:dyDescent="0.25">
      <c r="C30" s="185" t="str">
        <f>BASES!F11</f>
        <v>AÑO 3</v>
      </c>
      <c r="D30" s="149" t="e">
        <f>E30+F30</f>
        <v>#N/A</v>
      </c>
      <c r="E30" s="149" t="e">
        <f>$G$27/BASES!$G$28</f>
        <v>#N/A</v>
      </c>
      <c r="F30" s="149" t="e">
        <f>G29*$E$24</f>
        <v>#N/A</v>
      </c>
      <c r="G30" s="150" t="e">
        <f>G29-E30</f>
        <v>#N/A</v>
      </c>
    </row>
    <row r="31" spans="2:7" x14ac:dyDescent="0.25">
      <c r="C31" s="185" t="str">
        <f>BASES!G11</f>
        <v>AÑO 4</v>
      </c>
      <c r="D31" s="149" t="e">
        <f>E31+F31</f>
        <v>#N/A</v>
      </c>
      <c r="E31" s="149" t="e">
        <f>$G$27/BASES!$G$28</f>
        <v>#N/A</v>
      </c>
      <c r="F31" s="149" t="e">
        <f>G30*$E$24</f>
        <v>#N/A</v>
      </c>
      <c r="G31" s="150" t="e">
        <f>G30-E31</f>
        <v>#N/A</v>
      </c>
    </row>
    <row r="32" spans="2:7" ht="15.75" thickBot="1" x14ac:dyDescent="0.3">
      <c r="C32" s="186" t="str">
        <f>BASES!H11</f>
        <v>AÑO 5</v>
      </c>
      <c r="D32" s="149" t="e">
        <f>E32+F32</f>
        <v>#N/A</v>
      </c>
      <c r="E32" s="149" t="e">
        <f>$G$27/BASES!$G$28</f>
        <v>#N/A</v>
      </c>
      <c r="F32" s="149" t="e">
        <f>G31*$E$24</f>
        <v>#N/A</v>
      </c>
      <c r="G32" s="150" t="e">
        <f>G31-E32</f>
        <v>#N/A</v>
      </c>
    </row>
  </sheetData>
  <mergeCells count="3">
    <mergeCell ref="C19:D19"/>
    <mergeCell ref="C20:D20"/>
    <mergeCell ref="C21:D21"/>
  </mergeCell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B2:G14"/>
  <sheetViews>
    <sheetView showGridLines="0" zoomScaleNormal="100" workbookViewId="0"/>
  </sheetViews>
  <sheetFormatPr baseColWidth="10" defaultColWidth="11.42578125" defaultRowHeight="15" x14ac:dyDescent="0.25"/>
  <cols>
    <col min="1" max="1" width="11.42578125" style="99"/>
    <col min="2" max="2" width="51.28515625" style="99" customWidth="1"/>
    <col min="3" max="3" width="27.140625" style="99" customWidth="1"/>
    <col min="4" max="4" width="24.28515625" style="99" customWidth="1"/>
    <col min="5" max="5" width="26.28515625" style="99" customWidth="1"/>
    <col min="6" max="6" width="26.85546875" style="99" customWidth="1"/>
    <col min="7" max="7" width="27.140625" style="99" customWidth="1"/>
    <col min="8" max="16384" width="11.42578125" style="99"/>
  </cols>
  <sheetData>
    <row r="2" spans="2:7" ht="15.75" thickBot="1" x14ac:dyDescent="0.3"/>
    <row r="3" spans="2:7" x14ac:dyDescent="0.25">
      <c r="B3" s="189" t="s">
        <v>1012</v>
      </c>
      <c r="C3" s="187" t="str">
        <f>BASES!D11</f>
        <v>AÑO 1</v>
      </c>
      <c r="D3" s="187" t="str">
        <f>BASES!E11</f>
        <v>AÑO 2</v>
      </c>
      <c r="E3" s="187" t="str">
        <f>BASES!F11</f>
        <v>AÑO 3</v>
      </c>
      <c r="F3" s="187" t="str">
        <f>BASES!G11</f>
        <v>AÑO 4</v>
      </c>
      <c r="G3" s="188" t="str">
        <f>BASES!H11</f>
        <v>AÑO 5</v>
      </c>
    </row>
    <row r="4" spans="2:7" x14ac:dyDescent="0.25">
      <c r="B4" s="191" t="s">
        <v>1013</v>
      </c>
      <c r="C4" s="331" t="e">
        <f>'CTOS_VS_ING_OPER-INV_INFRAEST'!G13</f>
        <v>#N/A</v>
      </c>
      <c r="D4" s="331" t="e">
        <f>'CTOS_VS_ING_OPER-INV_INFRAEST'!I13</f>
        <v>#N/A</v>
      </c>
      <c r="E4" s="331" t="e">
        <f>'CTOS_VS_ING_OPER-INV_INFRAEST'!K13</f>
        <v>#N/A</v>
      </c>
      <c r="F4" s="331" t="e">
        <f>'CTOS_VS_ING_OPER-INV_INFRAEST'!M13</f>
        <v>#N/A</v>
      </c>
      <c r="G4" s="332" t="e">
        <f>'CTOS_VS_ING_OPER-INV_INFRAEST'!O13</f>
        <v>#N/A</v>
      </c>
    </row>
    <row r="5" spans="2:7" x14ac:dyDescent="0.25">
      <c r="B5" s="153" t="s">
        <v>1014</v>
      </c>
      <c r="C5" s="333">
        <f>'GTOS_ADTIVO_Y_VTAS-CTOS_FIJOS'!P18+'GTOS_ADTIVO_Y_VTAS-CTOS_FIJOS'!D36</f>
        <v>0</v>
      </c>
      <c r="D5" s="333">
        <f>C5*(1+BASES!$E$12)</f>
        <v>0</v>
      </c>
      <c r="E5" s="333">
        <f>D5*(1+BASES!$F$12)</f>
        <v>0</v>
      </c>
      <c r="F5" s="333">
        <f>E5*(1+BASES!$G$12)</f>
        <v>0</v>
      </c>
      <c r="G5" s="334">
        <f>F5*(1+BASES!$H$12)</f>
        <v>0</v>
      </c>
    </row>
    <row r="6" spans="2:7" x14ac:dyDescent="0.25">
      <c r="B6" s="153" t="s">
        <v>1015</v>
      </c>
      <c r="C6" s="333">
        <f>'GTOS_ADTIVO_Y_VTAS-CTOS_FIJOS'!D78+'GTOS_ADTIVO_Y_VTAS-CTOS_FIJOS'!O61</f>
        <v>0</v>
      </c>
      <c r="D6" s="333">
        <f>C6*(1+BASES!$E$12)</f>
        <v>0</v>
      </c>
      <c r="E6" s="333">
        <f>D6*(1+BASES!$F$12)</f>
        <v>0</v>
      </c>
      <c r="F6" s="333">
        <f>E6*(1+BASES!$G$12)</f>
        <v>0</v>
      </c>
      <c r="G6" s="334">
        <f>F6*(1+BASES!$H$12)</f>
        <v>0</v>
      </c>
    </row>
    <row r="7" spans="2:7" x14ac:dyDescent="0.25">
      <c r="B7" s="153" t="s">
        <v>1016</v>
      </c>
      <c r="C7" s="333">
        <f>'GTOS_ADTIVO_Y_VTAS-CTOS_FIJOS'!C127+'GTOS_ADTIVO_Y_VTAS-CTOS_FIJOS'!O109</f>
        <v>0</v>
      </c>
      <c r="D7" s="333">
        <f>C7*(1+BASES!$E$12)</f>
        <v>0</v>
      </c>
      <c r="E7" s="333">
        <f>D7*(1+BASES!$F$12)</f>
        <v>0</v>
      </c>
      <c r="F7" s="333">
        <f>E7*(1+BASES!$G$12)</f>
        <v>0</v>
      </c>
      <c r="G7" s="334">
        <f>F7*(1+BASES!$H$12)</f>
        <v>0</v>
      </c>
    </row>
    <row r="8" spans="2:7" x14ac:dyDescent="0.25">
      <c r="B8" s="153" t="s">
        <v>1017</v>
      </c>
      <c r="C8" s="333">
        <f>'GTOS_ADTIVO_Y_VTAS-CTOS_FIJOS'!H141</f>
        <v>0</v>
      </c>
      <c r="D8" s="333">
        <f>'GTOS_ADTIVO_Y_VTAS-CTOS_FIJOS'!I141</f>
        <v>0</v>
      </c>
      <c r="E8" s="333">
        <f>'GTOS_ADTIVO_Y_VTAS-CTOS_FIJOS'!J141</f>
        <v>0</v>
      </c>
      <c r="F8" s="333">
        <f>'GTOS_ADTIVO_Y_VTAS-CTOS_FIJOS'!K141</f>
        <v>0</v>
      </c>
      <c r="G8" s="334">
        <f>'GTOS_ADTIVO_Y_VTAS-CTOS_FIJOS'!L141</f>
        <v>0</v>
      </c>
    </row>
    <row r="9" spans="2:7" x14ac:dyDescent="0.25">
      <c r="B9" s="153" t="s">
        <v>1018</v>
      </c>
      <c r="C9" s="333">
        <f>'GTOS_ADTIVO_Y_VTAS-CTOS_FIJOS'!C162</f>
        <v>0</v>
      </c>
      <c r="D9" s="333">
        <f>C9*(1+BASES!$E$12)</f>
        <v>0</v>
      </c>
      <c r="E9" s="333">
        <f>D9*(1+BASES!$F$12)</f>
        <v>0</v>
      </c>
      <c r="F9" s="333">
        <f>E9*(1+BASES!$G$12)</f>
        <v>0</v>
      </c>
      <c r="G9" s="334">
        <f>F9*(1+BASES!$H$12)</f>
        <v>0</v>
      </c>
    </row>
    <row r="10" spans="2:7" x14ac:dyDescent="0.25">
      <c r="B10" s="153" t="s">
        <v>1019</v>
      </c>
      <c r="C10" s="333" t="e">
        <f>NECESIDADES_DE_FINANCIACION!D28*-1</f>
        <v>#N/A</v>
      </c>
      <c r="D10" s="333" t="e">
        <f>NECESIDADES_DE_FINANCIACION!D29*-1</f>
        <v>#N/A</v>
      </c>
      <c r="E10" s="333" t="e">
        <f>NECESIDADES_DE_FINANCIACION!D30*-1</f>
        <v>#N/A</v>
      </c>
      <c r="F10" s="333" t="e">
        <f>NECESIDADES_DE_FINANCIACION!D31*-1</f>
        <v>#N/A</v>
      </c>
      <c r="G10" s="334" t="e">
        <f>NECESIDADES_DE_FINANCIACION!D32*-1</f>
        <v>#N/A</v>
      </c>
    </row>
    <row r="11" spans="2:7" x14ac:dyDescent="0.25">
      <c r="B11" s="153" t="s">
        <v>1020</v>
      </c>
      <c r="C11" s="333">
        <f>ESTADO_DE_RESULTADOS!B7</f>
        <v>0</v>
      </c>
      <c r="D11" s="333">
        <f>ESTADO_DE_RESULTADOS!C7</f>
        <v>0</v>
      </c>
      <c r="E11" s="333">
        <f>ESTADO_DE_RESULTADOS!D7</f>
        <v>0</v>
      </c>
      <c r="F11" s="333">
        <f>ESTADO_DE_RESULTADOS!E7</f>
        <v>0</v>
      </c>
      <c r="G11" s="334">
        <f>ESTADO_DE_RESULTADOS!F7</f>
        <v>0</v>
      </c>
    </row>
    <row r="12" spans="2:7" x14ac:dyDescent="0.25">
      <c r="B12" s="153" t="s">
        <v>1021</v>
      </c>
      <c r="C12" s="333">
        <f>ESTADO_DE_RESULTADOS!B8</f>
        <v>0</v>
      </c>
      <c r="D12" s="333">
        <f>ESTADO_DE_RESULTADOS!C8</f>
        <v>0</v>
      </c>
      <c r="E12" s="333">
        <f>ESTADO_DE_RESULTADOS!D8</f>
        <v>0</v>
      </c>
      <c r="F12" s="333">
        <f>ESTADO_DE_RESULTADOS!E8</f>
        <v>0</v>
      </c>
      <c r="G12" s="334">
        <f>ESTADO_DE_RESULTADOS!F8</f>
        <v>0</v>
      </c>
    </row>
    <row r="13" spans="2:7" x14ac:dyDescent="0.25">
      <c r="B13" s="190" t="s">
        <v>1022</v>
      </c>
      <c r="C13" s="335" t="e">
        <f>SUM(C5:C12)</f>
        <v>#N/A</v>
      </c>
      <c r="D13" s="335" t="e">
        <f>SUM(D5:D12)</f>
        <v>#N/A</v>
      </c>
      <c r="E13" s="335" t="e">
        <f>SUM(E5:E12)</f>
        <v>#N/A</v>
      </c>
      <c r="F13" s="335" t="e">
        <f>SUM(F5:F12)</f>
        <v>#N/A</v>
      </c>
      <c r="G13" s="336" t="e">
        <f>SUM(G5:G12)</f>
        <v>#N/A</v>
      </c>
    </row>
    <row r="14" spans="2:7" ht="15.75" thickBot="1" x14ac:dyDescent="0.3">
      <c r="B14" s="154" t="s">
        <v>1023</v>
      </c>
      <c r="C14" s="337" t="e">
        <f>C4-C13</f>
        <v>#N/A</v>
      </c>
      <c r="D14" s="337" t="e">
        <f>D4-D13</f>
        <v>#N/A</v>
      </c>
      <c r="E14" s="337" t="e">
        <f>E4-E13</f>
        <v>#N/A</v>
      </c>
      <c r="F14" s="337" t="e">
        <f>F4-F13</f>
        <v>#N/A</v>
      </c>
      <c r="G14" s="338" t="e">
        <f>G4-G13</f>
        <v>#N/A</v>
      </c>
    </row>
  </sheetData>
  <pageMargins left="0.7" right="0.7" top="0.75" bottom="0.75" header="0.3" footer="0.3"/>
  <pageSetup paperSize="9" orientation="portrait" horizontalDpi="0" verticalDpi="0" r:id="rId1"/>
  <ignoredErrors>
    <ignoredError sqref="D8:G8" formula="1"/>
  </ignoredError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8"/>
  <dimension ref="E1:Q42"/>
  <sheetViews>
    <sheetView showGridLines="0" zoomScaleNormal="100" workbookViewId="0"/>
  </sheetViews>
  <sheetFormatPr baseColWidth="10" defaultColWidth="11.42578125" defaultRowHeight="15" x14ac:dyDescent="0.25"/>
  <cols>
    <col min="1" max="4" width="11.42578125" style="2"/>
    <col min="5" max="5" width="15.42578125" style="2" bestFit="1" customWidth="1"/>
    <col min="6" max="6" width="35.140625" style="2" bestFit="1" customWidth="1"/>
    <col min="7" max="7" width="52.5703125" style="2" customWidth="1"/>
    <col min="8" max="8" width="53.7109375" style="2" bestFit="1" customWidth="1"/>
    <col min="9" max="9" width="35.28515625" style="2" bestFit="1" customWidth="1"/>
    <col min="10" max="10" width="51.85546875" style="2" bestFit="1" customWidth="1"/>
    <col min="11" max="11" width="59.42578125" style="2" bestFit="1" customWidth="1"/>
    <col min="12" max="12" width="11.42578125" style="2"/>
    <col min="13" max="13" width="3.5703125" style="2" customWidth="1"/>
    <col min="14" max="14" width="21.7109375" style="2" bestFit="1" customWidth="1"/>
    <col min="15" max="16" width="11.42578125" style="2"/>
    <col min="17" max="17" width="7.5703125" style="2" bestFit="1" customWidth="1"/>
    <col min="18" max="16384" width="11.42578125" style="2"/>
  </cols>
  <sheetData>
    <row r="1" spans="5:11" ht="15.75" thickBot="1" x14ac:dyDescent="0.3"/>
    <row r="2" spans="5:11" x14ac:dyDescent="0.25">
      <c r="G2" s="693" t="s">
        <v>1024</v>
      </c>
      <c r="H2" s="694"/>
    </row>
    <row r="3" spans="5:11" ht="15.75" customHeight="1" thickBot="1" x14ac:dyDescent="0.3">
      <c r="G3" s="695"/>
      <c r="H3" s="696"/>
    </row>
    <row r="4" spans="5:11" ht="15.75" customHeight="1" x14ac:dyDescent="0.4">
      <c r="G4" s="95"/>
      <c r="H4" s="95"/>
    </row>
    <row r="5" spans="5:11" ht="15.75" customHeight="1" x14ac:dyDescent="0.4">
      <c r="G5" s="95"/>
      <c r="H5" s="95"/>
    </row>
    <row r="6" spans="5:11" ht="15.75" customHeight="1" x14ac:dyDescent="0.4">
      <c r="G6" s="95"/>
      <c r="H6" s="95"/>
    </row>
    <row r="8" spans="5:11" ht="15.75" x14ac:dyDescent="0.25">
      <c r="E8" s="10" t="s">
        <v>849</v>
      </c>
      <c r="F8" s="10" t="s">
        <v>1025</v>
      </c>
      <c r="G8" s="10" t="s">
        <v>1026</v>
      </c>
      <c r="H8" s="10" t="s">
        <v>1027</v>
      </c>
      <c r="I8" s="10" t="s">
        <v>1028</v>
      </c>
      <c r="J8" s="10" t="s">
        <v>1029</v>
      </c>
      <c r="K8" s="10" t="s">
        <v>1030</v>
      </c>
    </row>
    <row r="9" spans="5:11" ht="15.75" x14ac:dyDescent="0.25">
      <c r="E9" s="502"/>
      <c r="F9" s="503" t="e">
        <f>VLOOKUP(Tabla6[[#This Row],[CÓDIGO ]],Tabla3[],2,0)</f>
        <v>#N/A</v>
      </c>
      <c r="G9" s="514" t="e">
        <f>VLOOKUP(Tabla6[[#This Row],[CÓDIGO ]],Tabla2[],4,0)</f>
        <v>#N/A</v>
      </c>
      <c r="H9" s="514" t="e">
        <f>VLOOKUP(Tabla6[[#This Row],[CÓDIGO ]],Tabla3[],4,0)</f>
        <v>#N/A</v>
      </c>
      <c r="I9" s="53" t="e">
        <f>VLOOKUP(Tabla6[[#This Row],[CÓDIGO ]],Tabla15[],18,0)</f>
        <v>#N/A</v>
      </c>
      <c r="J9" s="53" t="e">
        <f>Tabla6[[#This Row],[PRECIO DE VENTA ]]-Tabla6[[#This Row],[COSTOS DE PRODUCCIÓN ]]</f>
        <v>#N/A</v>
      </c>
      <c r="K9" s="87" t="e">
        <f>IF($G$11=0,0,G9/$G$11)</f>
        <v>#N/A</v>
      </c>
    </row>
    <row r="11" spans="5:11" ht="15.75" x14ac:dyDescent="0.25">
      <c r="E11" s="675" t="s">
        <v>1031</v>
      </c>
      <c r="F11" s="675"/>
      <c r="G11" s="84" t="e">
        <f>SUM(Tabla6[INGRESOS TOTALES])</f>
        <v>#N/A</v>
      </c>
    </row>
    <row r="12" spans="5:11" ht="15.75" x14ac:dyDescent="0.25">
      <c r="E12" s="96"/>
      <c r="F12" s="96"/>
      <c r="G12" s="97"/>
    </row>
    <row r="13" spans="5:11" ht="15.75" x14ac:dyDescent="0.25">
      <c r="E13" s="96"/>
      <c r="F13" s="96"/>
      <c r="G13" s="97"/>
    </row>
    <row r="14" spans="5:11" ht="15.75" x14ac:dyDescent="0.25">
      <c r="E14" s="96"/>
      <c r="F14" s="96"/>
      <c r="G14" s="97"/>
    </row>
    <row r="15" spans="5:11" ht="15.75" x14ac:dyDescent="0.25">
      <c r="E15" s="96"/>
      <c r="F15" s="96"/>
      <c r="G15" s="97"/>
    </row>
    <row r="17" spans="5:17" ht="15.75" x14ac:dyDescent="0.25">
      <c r="E17" s="615" t="s">
        <v>1032</v>
      </c>
      <c r="F17" s="616"/>
      <c r="G17" s="616"/>
      <c r="H17" s="616"/>
      <c r="I17" s="617"/>
    </row>
    <row r="18" spans="5:17" ht="15.75" x14ac:dyDescent="0.25">
      <c r="E18" s="10" t="s">
        <v>849</v>
      </c>
      <c r="F18" s="10" t="s">
        <v>1025</v>
      </c>
      <c r="G18" s="10" t="s">
        <v>1029</v>
      </c>
      <c r="H18" s="10" t="s">
        <v>1033</v>
      </c>
      <c r="I18" s="10" t="s">
        <v>1034</v>
      </c>
    </row>
    <row r="19" spans="5:17" ht="15.75" x14ac:dyDescent="0.25">
      <c r="E19" s="503"/>
      <c r="F19" s="503" t="e">
        <f>VLOOKUP(Tabla7[[#This Row],[CÓDIGO ]],Tabla3[],2,0)</f>
        <v>#N/A</v>
      </c>
      <c r="G19" s="514" t="e">
        <f>VLOOKUP(Tabla7[[#This Row],[CÓDIGO ]],Tabla6[],6,0)</f>
        <v>#N/A</v>
      </c>
      <c r="H19" s="505" t="e">
        <f>VLOOKUP(Tabla7[[#This Row],[CÓDIGO ]],Tabla6[],7,0)</f>
        <v>#N/A</v>
      </c>
      <c r="I19" s="53" t="e">
        <f>Tabla7[[#This Row],[MARGEN DE CONTRIBUCIÓN UNITARIO ]]*Tabla7[[#This Row],[PARTICIPACIÓN % EN VENTAS ]]</f>
        <v>#N/A</v>
      </c>
    </row>
    <row r="21" spans="5:17" ht="15.75" x14ac:dyDescent="0.25">
      <c r="N21" s="90" t="s">
        <v>1035</v>
      </c>
      <c r="O21" s="615" t="s">
        <v>1036</v>
      </c>
      <c r="P21" s="616"/>
      <c r="Q21" s="617"/>
    </row>
    <row r="22" spans="5:17" ht="15.75" x14ac:dyDescent="0.25">
      <c r="N22" s="68" t="s">
        <v>1037</v>
      </c>
      <c r="O22" s="70">
        <v>0</v>
      </c>
      <c r="P22" s="70" t="e">
        <f>G42</f>
        <v>#N/A</v>
      </c>
      <c r="Q22" s="70" t="e">
        <f>P22*2</f>
        <v>#N/A</v>
      </c>
    </row>
    <row r="23" spans="5:17" ht="15.75" x14ac:dyDescent="0.25">
      <c r="N23" s="91" t="s">
        <v>1038</v>
      </c>
      <c r="O23" s="71">
        <v>0</v>
      </c>
      <c r="P23" s="71" t="e">
        <f>SUMPRODUCT(Tabla8[-],Tabla6[[PRECIO DE VENTA ]])</f>
        <v>#N/A</v>
      </c>
      <c r="Q23" s="71" t="e">
        <f>SUMPRODUCT(Tabla8[[UNIDADES CALCULADAS PARA EL GRÁFICO ]],Tabla6[[PRECIO DE VENTA ]])</f>
        <v>#N/A</v>
      </c>
    </row>
    <row r="24" spans="5:17" ht="15.75" x14ac:dyDescent="0.25">
      <c r="N24" s="68" t="s">
        <v>1039</v>
      </c>
      <c r="O24" s="71" t="e">
        <f>G29</f>
        <v>#N/A</v>
      </c>
      <c r="P24" s="71" t="e">
        <f>O24</f>
        <v>#N/A</v>
      </c>
      <c r="Q24" s="71" t="e">
        <f>P24</f>
        <v>#N/A</v>
      </c>
    </row>
    <row r="25" spans="5:17" ht="15.75" x14ac:dyDescent="0.25">
      <c r="N25" s="68" t="s">
        <v>1040</v>
      </c>
      <c r="O25" s="71">
        <v>0</v>
      </c>
      <c r="P25" s="71" t="e">
        <f>SUMPRODUCT(Tabla6[[COSTOS DE PRODUCCIÓN ]],Tabla8[-])</f>
        <v>#N/A</v>
      </c>
      <c r="Q25" s="71" t="e">
        <f>SUMPRODUCT(Tabla6[[COSTOS DE PRODUCCIÓN ]],Tabla8[[UNIDADES CALCULADAS PARA EL GRÁFICO ]])</f>
        <v>#N/A</v>
      </c>
    </row>
    <row r="26" spans="5:17" ht="15.75" x14ac:dyDescent="0.25">
      <c r="N26" s="91" t="s">
        <v>1041</v>
      </c>
      <c r="O26" s="71" t="e">
        <f>O24+O25</f>
        <v>#N/A</v>
      </c>
      <c r="P26" s="71" t="e">
        <f>P24+P25</f>
        <v>#N/A</v>
      </c>
      <c r="Q26" s="71" t="e">
        <f>Q24+Q25</f>
        <v>#N/A</v>
      </c>
    </row>
    <row r="27" spans="5:17" ht="15.75" x14ac:dyDescent="0.25">
      <c r="E27" s="692" t="s">
        <v>1042</v>
      </c>
      <c r="F27" s="692"/>
      <c r="G27" s="692"/>
      <c r="H27" s="692"/>
      <c r="I27" s="72" t="e">
        <f>SUM(Tabla7[[MARGEN PONDERADO ]])</f>
        <v>#N/A</v>
      </c>
      <c r="N27" s="67" t="s">
        <v>1043</v>
      </c>
      <c r="O27" s="71" t="e">
        <f>O23-O26</f>
        <v>#N/A</v>
      </c>
      <c r="P27" s="71" t="e">
        <f t="shared" ref="P27:Q27" si="0">P23-P26</f>
        <v>#N/A</v>
      </c>
      <c r="Q27" s="71" t="e">
        <f t="shared" si="0"/>
        <v>#N/A</v>
      </c>
    </row>
    <row r="29" spans="5:17" ht="15.75" x14ac:dyDescent="0.25">
      <c r="E29" s="675" t="s">
        <v>996</v>
      </c>
      <c r="F29" s="675"/>
      <c r="G29" s="84" t="e">
        <f>CUADRO_DE_COSTOS_Y_GASTOS_FIJOS!$C$13</f>
        <v>#N/A</v>
      </c>
    </row>
    <row r="31" spans="5:17" ht="15.75" x14ac:dyDescent="0.25">
      <c r="E31" s="649" t="s">
        <v>1044</v>
      </c>
      <c r="F31" s="651"/>
      <c r="G31" s="88" t="e">
        <f>IF(I27=0,0,G29/I27)</f>
        <v>#N/A</v>
      </c>
    </row>
    <row r="37" spans="5:8" ht="15.75" x14ac:dyDescent="0.25">
      <c r="E37" s="563" t="s">
        <v>1045</v>
      </c>
      <c r="F37" s="563"/>
      <c r="G37" s="563"/>
    </row>
    <row r="38" spans="5:8" ht="15.75" x14ac:dyDescent="0.25">
      <c r="E38" s="10" t="s">
        <v>849</v>
      </c>
      <c r="F38" s="10" t="s">
        <v>1025</v>
      </c>
      <c r="G38" s="10" t="s">
        <v>51</v>
      </c>
      <c r="H38" s="9" t="s">
        <v>1046</v>
      </c>
    </row>
    <row r="39" spans="5:8" ht="15.75" x14ac:dyDescent="0.25">
      <c r="E39" s="503"/>
      <c r="F39" s="503" t="e">
        <f>VLOOKUP(Tabla8[[#This Row],[CÓDIGO ]],Tabla3[],2,0)</f>
        <v>#N/A</v>
      </c>
      <c r="G39" s="504" t="e">
        <f>$G$31*VLOOKUP(Tabla8[[#This Row],[CÓDIGO ]],Tabla6[],7,0)</f>
        <v>#N/A</v>
      </c>
      <c r="H39" s="504" t="e">
        <f>$Q$22*VLOOKUP(Tabla8[[#This Row],[CÓDIGO ]],Tabla6[],7,0)</f>
        <v>#N/A</v>
      </c>
    </row>
    <row r="42" spans="5:8" ht="15.75" x14ac:dyDescent="0.25">
      <c r="E42" s="692" t="s">
        <v>1047</v>
      </c>
      <c r="F42" s="692"/>
      <c r="G42" s="70" t="e">
        <f>SUM(Tabla8[-])</f>
        <v>#N/A</v>
      </c>
      <c r="H42" s="70" t="e">
        <f>SUM(Tabla8[[UNIDADES CALCULADAS PARA EL GRÁFICO ]])</f>
        <v>#N/A</v>
      </c>
    </row>
  </sheetData>
  <mergeCells count="9">
    <mergeCell ref="O21:Q21"/>
    <mergeCell ref="E11:F11"/>
    <mergeCell ref="E17:I17"/>
    <mergeCell ref="E29:F29"/>
    <mergeCell ref="E42:F42"/>
    <mergeCell ref="G2:H3"/>
    <mergeCell ref="E31:F31"/>
    <mergeCell ref="E27:H27"/>
    <mergeCell ref="E37:G37"/>
  </mergeCells>
  <pageMargins left="0.7" right="0.7" top="0.75" bottom="0.75" header="0.3" footer="0.3"/>
  <pageSetup paperSize="9" orientation="portrait" horizontalDpi="0" verticalDpi="0" r:id="rId1"/>
  <drawing r:id="rId2"/>
  <tableParts count="3">
    <tablePart r:id="rId3"/>
    <tablePart r:id="rId4"/>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1"/>
  <dimension ref="A6:H76"/>
  <sheetViews>
    <sheetView showGridLines="0" zoomScaleNormal="100" workbookViewId="0"/>
  </sheetViews>
  <sheetFormatPr baseColWidth="10" defaultColWidth="11.42578125" defaultRowHeight="15" x14ac:dyDescent="0.25"/>
  <cols>
    <col min="1" max="1" width="52.5703125" style="99" customWidth="1"/>
    <col min="2" max="2" width="20.28515625" style="99" customWidth="1"/>
    <col min="3" max="3" width="25.28515625" style="99" customWidth="1"/>
    <col min="4" max="4" width="21.7109375" style="99" customWidth="1"/>
    <col min="5" max="7" width="24.85546875" style="99" customWidth="1"/>
    <col min="8" max="16384" width="11.42578125" style="99"/>
  </cols>
  <sheetData>
    <row r="6" spans="1:8" ht="15" customHeight="1" thickBot="1" x14ac:dyDescent="0.3"/>
    <row r="7" spans="1:8" ht="22.15" customHeight="1" thickBot="1" x14ac:dyDescent="0.3">
      <c r="A7" s="703" t="s">
        <v>1048</v>
      </c>
      <c r="B7" s="704"/>
      <c r="C7" s="234" t="str">
        <f>BASES!C11</f>
        <v>AÑO 0</v>
      </c>
      <c r="D7" s="234" t="str">
        <f>BASES!D11</f>
        <v>AÑO 1</v>
      </c>
      <c r="E7" s="234" t="str">
        <f>BASES!E11</f>
        <v>AÑO 2</v>
      </c>
      <c r="F7" s="234" t="str">
        <f>BASES!F11</f>
        <v>AÑO 3</v>
      </c>
      <c r="G7" s="234" t="str">
        <f>BASES!G11</f>
        <v>AÑO 4</v>
      </c>
      <c r="H7" s="234" t="str">
        <f>BASES!H11</f>
        <v>AÑO 5</v>
      </c>
    </row>
    <row r="8" spans="1:8" x14ac:dyDescent="0.25">
      <c r="A8" s="192" t="s">
        <v>1049</v>
      </c>
      <c r="B8" s="193" t="s">
        <v>1050</v>
      </c>
      <c r="C8" s="194"/>
      <c r="D8" s="195"/>
      <c r="E8" s="195"/>
      <c r="F8" s="195"/>
      <c r="G8" s="195"/>
      <c r="H8" s="196"/>
    </row>
    <row r="9" spans="1:8" x14ac:dyDescent="0.25">
      <c r="A9" s="197" t="s">
        <v>1051</v>
      </c>
      <c r="B9" s="109" t="s">
        <v>1052</v>
      </c>
      <c r="C9" s="378" t="e">
        <f>NECESIDADES_DE_FINANCIACION!E14+NECESIDADES_DE_FINANCIACION!E17</f>
        <v>#N/A</v>
      </c>
      <c r="D9" s="339" t="e">
        <f>(COSTOS_DE_PRODUCCION!D175*BALANCE_GENERAL!D8)/360</f>
        <v>#N/A</v>
      </c>
      <c r="E9" s="339" t="e">
        <f>(COSTOS_DE_PRODUCCION!F175*BALANCE_GENERAL!E8)/360</f>
        <v>#N/A</v>
      </c>
      <c r="F9" s="339" t="e">
        <f>(COSTOS_DE_PRODUCCION!G175*BALANCE_GENERAL!F8)/360</f>
        <v>#N/A</v>
      </c>
      <c r="G9" s="339" t="e">
        <f>(COSTOS_DE_PRODUCCION!H175*BALANCE_GENERAL!G8)/360</f>
        <v>#N/A</v>
      </c>
      <c r="H9" s="339" t="e">
        <f>(COSTOS_DE_PRODUCCION!I175*BALANCE_GENERAL!H8)/360</f>
        <v>#N/A</v>
      </c>
    </row>
    <row r="10" spans="1:8" x14ac:dyDescent="0.25">
      <c r="A10" s="197" t="s">
        <v>1053</v>
      </c>
      <c r="B10" s="109" t="s">
        <v>1052</v>
      </c>
      <c r="C10" s="340"/>
      <c r="D10" s="341" t="e">
        <f>C9-D9</f>
        <v>#N/A</v>
      </c>
      <c r="E10" s="341" t="e">
        <f>D9-E9</f>
        <v>#N/A</v>
      </c>
      <c r="F10" s="341" t="e">
        <f>E9-F9</f>
        <v>#N/A</v>
      </c>
      <c r="G10" s="341" t="e">
        <f>F9-G9</f>
        <v>#N/A</v>
      </c>
      <c r="H10" s="341" t="e">
        <f>G9-H9</f>
        <v>#N/A</v>
      </c>
    </row>
    <row r="11" spans="1:8" x14ac:dyDescent="0.25">
      <c r="A11" s="199" t="s">
        <v>1054</v>
      </c>
      <c r="B11" s="109" t="s">
        <v>1055</v>
      </c>
      <c r="C11" s="198"/>
      <c r="D11" s="200"/>
      <c r="E11" s="200"/>
      <c r="F11" s="200"/>
      <c r="G11" s="200"/>
      <c r="H11" s="201"/>
    </row>
    <row r="12" spans="1:8" x14ac:dyDescent="0.25">
      <c r="A12" s="199" t="s">
        <v>1056</v>
      </c>
      <c r="B12" s="109" t="s">
        <v>1052</v>
      </c>
      <c r="C12" s="342"/>
      <c r="D12" s="343" t="e">
        <f>ESTADO_DE_RESULTADOS!B4*BALANCE_GENERAL!D11/360</f>
        <v>#N/A</v>
      </c>
      <c r="E12" s="343" t="e">
        <f>ESTADO_DE_RESULTADOS!C4*BALANCE_GENERAL!E11/360</f>
        <v>#N/A</v>
      </c>
      <c r="F12" s="343" t="e">
        <f>ESTADO_DE_RESULTADOS!D4*BALANCE_GENERAL!F11/360</f>
        <v>#N/A</v>
      </c>
      <c r="G12" s="343" t="e">
        <f>ESTADO_DE_RESULTADOS!E4*BALANCE_GENERAL!G11/360</f>
        <v>#N/A</v>
      </c>
      <c r="H12" s="343" t="e">
        <f>ESTADO_DE_RESULTADOS!F4*BALANCE_GENERAL!H11/360</f>
        <v>#N/A</v>
      </c>
    </row>
    <row r="13" spans="1:8" x14ac:dyDescent="0.25">
      <c r="A13" s="199" t="s">
        <v>1057</v>
      </c>
      <c r="B13" s="109" t="s">
        <v>1052</v>
      </c>
      <c r="C13" s="340"/>
      <c r="D13" s="341" t="e">
        <f>C12-D12</f>
        <v>#N/A</v>
      </c>
      <c r="E13" s="341" t="e">
        <f>D12-E12</f>
        <v>#N/A</v>
      </c>
      <c r="F13" s="341" t="e">
        <f>E12-F12</f>
        <v>#N/A</v>
      </c>
      <c r="G13" s="341" t="e">
        <f>F12-G12</f>
        <v>#N/A</v>
      </c>
      <c r="H13" s="341" t="e">
        <f>G12-H12</f>
        <v>#N/A</v>
      </c>
    </row>
    <row r="14" spans="1:8" x14ac:dyDescent="0.25">
      <c r="A14" s="197" t="s">
        <v>1058</v>
      </c>
      <c r="B14" s="109" t="s">
        <v>1059</v>
      </c>
      <c r="C14" s="202"/>
      <c r="D14" s="203"/>
      <c r="E14" s="203"/>
      <c r="F14" s="203"/>
      <c r="G14" s="203"/>
      <c r="H14" s="204"/>
    </row>
    <row r="15" spans="1:8" x14ac:dyDescent="0.25">
      <c r="A15" s="197" t="s">
        <v>1060</v>
      </c>
      <c r="B15" s="109" t="s">
        <v>1052</v>
      </c>
      <c r="C15" s="344"/>
      <c r="D15" s="345" t="e">
        <f>(COSTOS_DE_PRODUCCION!D175+COSTOS_DE_PRODUCCION!D176)*BALANCE_GENERAL!D14/360</f>
        <v>#N/A</v>
      </c>
      <c r="E15" s="345" t="e">
        <f>(COSTOS_DE_PRODUCCION!F175+COSTOS_DE_PRODUCCION!F176)*BALANCE_GENERAL!E14/360</f>
        <v>#N/A</v>
      </c>
      <c r="F15" s="345" t="e">
        <f>(COSTOS_DE_PRODUCCION!G175+COSTOS_DE_PRODUCCION!G176)*BALANCE_GENERAL!F14/360</f>
        <v>#N/A</v>
      </c>
      <c r="G15" s="345" t="e">
        <f>(COSTOS_DE_PRODUCCION!H175+COSTOS_DE_PRODUCCION!H176)*BALANCE_GENERAL!G14/360</f>
        <v>#N/A</v>
      </c>
      <c r="H15" s="345" t="e">
        <f>(COSTOS_DE_PRODUCCION!I175+COSTOS_DE_PRODUCCION!I176)*BALANCE_GENERAL!H14/360</f>
        <v>#N/A</v>
      </c>
    </row>
    <row r="16" spans="1:8" ht="15.75" thickBot="1" x14ac:dyDescent="0.3">
      <c r="A16" s="205" t="s">
        <v>1061</v>
      </c>
      <c r="B16" s="206" t="s">
        <v>1062</v>
      </c>
      <c r="C16" s="346"/>
      <c r="D16" s="347" t="e">
        <f>C15-D15</f>
        <v>#N/A</v>
      </c>
      <c r="E16" s="347" t="e">
        <f>D15-E15</f>
        <v>#N/A</v>
      </c>
      <c r="F16" s="347" t="e">
        <f>E15-F15</f>
        <v>#N/A</v>
      </c>
      <c r="G16" s="347" t="e">
        <f>F15-G15</f>
        <v>#N/A</v>
      </c>
      <c r="H16" s="347" t="e">
        <f>G15-H15</f>
        <v>#N/A</v>
      </c>
    </row>
    <row r="18" spans="1:8" ht="15.75" thickBot="1" x14ac:dyDescent="0.3"/>
    <row r="19" spans="1:8" x14ac:dyDescent="0.25">
      <c r="A19" s="207" t="s">
        <v>1063</v>
      </c>
      <c r="B19" s="705" t="s">
        <v>1012</v>
      </c>
      <c r="C19" s="705"/>
      <c r="D19" s="705"/>
      <c r="E19" s="705"/>
      <c r="F19" s="705"/>
      <c r="G19" s="706"/>
    </row>
    <row r="20" spans="1:8" x14ac:dyDescent="0.25">
      <c r="A20" s="208"/>
      <c r="B20" s="247" t="str">
        <f>C7</f>
        <v>AÑO 0</v>
      </c>
      <c r="C20" s="247" t="str">
        <f>D7</f>
        <v>AÑO 1</v>
      </c>
      <c r="D20" s="247" t="str">
        <f t="shared" ref="D20:G20" si="0">E7</f>
        <v>AÑO 2</v>
      </c>
      <c r="E20" s="247" t="str">
        <f t="shared" si="0"/>
        <v>AÑO 3</v>
      </c>
      <c r="F20" s="247" t="str">
        <f t="shared" si="0"/>
        <v>AÑO 4</v>
      </c>
      <c r="G20" s="247" t="str">
        <f t="shared" si="0"/>
        <v>AÑO 5</v>
      </c>
    </row>
    <row r="21" spans="1:8" ht="18.75" x14ac:dyDescent="0.3">
      <c r="A21" s="700" t="s">
        <v>1064</v>
      </c>
      <c r="B21" s="701"/>
      <c r="C21" s="701"/>
      <c r="D21" s="701"/>
      <c r="E21" s="701"/>
      <c r="F21" s="701"/>
      <c r="G21" s="702"/>
    </row>
    <row r="22" spans="1:8" x14ac:dyDescent="0.25">
      <c r="A22" s="209" t="s">
        <v>1065</v>
      </c>
      <c r="B22" s="210" t="e">
        <f>B74-B23-B24-B30-B33-B36-B39-B42-B45-B48-B51-B26-B27-B56</f>
        <v>#N/A</v>
      </c>
      <c r="C22" s="210" t="e">
        <f t="shared" ref="C22:G22" si="1">C74-C23-C24-C30-C33-C36-C39-C42-C45-C48-C51-C26-C27-C56</f>
        <v>#N/A</v>
      </c>
      <c r="D22" s="210" t="e">
        <f t="shared" si="1"/>
        <v>#N/A</v>
      </c>
      <c r="E22" s="210" t="e">
        <f t="shared" si="1"/>
        <v>#N/A</v>
      </c>
      <c r="F22" s="210" t="e">
        <f t="shared" si="1"/>
        <v>#N/A</v>
      </c>
      <c r="G22" s="210" t="e">
        <f t="shared" si="1"/>
        <v>#N/A</v>
      </c>
    </row>
    <row r="23" spans="1:8" x14ac:dyDescent="0.25">
      <c r="A23" s="209" t="s">
        <v>1066</v>
      </c>
      <c r="B23" s="210" t="e">
        <f t="shared" ref="B23:G23" si="2">C9</f>
        <v>#N/A</v>
      </c>
      <c r="C23" s="210" t="e">
        <f t="shared" si="2"/>
        <v>#N/A</v>
      </c>
      <c r="D23" s="210" t="e">
        <f t="shared" si="2"/>
        <v>#N/A</v>
      </c>
      <c r="E23" s="210" t="e">
        <f t="shared" si="2"/>
        <v>#N/A</v>
      </c>
      <c r="F23" s="210" t="e">
        <f t="shared" si="2"/>
        <v>#N/A</v>
      </c>
      <c r="G23" s="211" t="e">
        <f t="shared" si="2"/>
        <v>#N/A</v>
      </c>
    </row>
    <row r="24" spans="1:8" x14ac:dyDescent="0.25">
      <c r="A24" s="209" t="s">
        <v>1067</v>
      </c>
      <c r="B24" s="210">
        <f t="shared" ref="B24:G24" si="3">C12</f>
        <v>0</v>
      </c>
      <c r="C24" s="210" t="e">
        <f t="shared" si="3"/>
        <v>#N/A</v>
      </c>
      <c r="D24" s="210" t="e">
        <f t="shared" si="3"/>
        <v>#N/A</v>
      </c>
      <c r="E24" s="210" t="e">
        <f t="shared" si="3"/>
        <v>#N/A</v>
      </c>
      <c r="F24" s="210" t="e">
        <f t="shared" si="3"/>
        <v>#N/A</v>
      </c>
      <c r="G24" s="211" t="e">
        <f t="shared" si="3"/>
        <v>#N/A</v>
      </c>
    </row>
    <row r="25" spans="1:8" x14ac:dyDescent="0.25">
      <c r="A25" s="212" t="s">
        <v>1068</v>
      </c>
      <c r="B25" s="213" t="e">
        <f t="shared" ref="B25:G25" si="4">B22+B23+B24</f>
        <v>#N/A</v>
      </c>
      <c r="C25" s="213" t="e">
        <f t="shared" si="4"/>
        <v>#N/A</v>
      </c>
      <c r="D25" s="213" t="e">
        <f t="shared" si="4"/>
        <v>#N/A</v>
      </c>
      <c r="E25" s="213" t="e">
        <f t="shared" si="4"/>
        <v>#N/A</v>
      </c>
      <c r="F25" s="213" t="e">
        <f t="shared" si="4"/>
        <v>#N/A</v>
      </c>
      <c r="G25" s="214" t="e">
        <f t="shared" si="4"/>
        <v>#N/A</v>
      </c>
    </row>
    <row r="26" spans="1:8" x14ac:dyDescent="0.25">
      <c r="A26" s="209" t="s">
        <v>1069</v>
      </c>
      <c r="B26" s="210">
        <f>'CTOS_VS_ING_OPER-INV_INFRAEST'!F398</f>
        <v>0</v>
      </c>
      <c r="C26" s="210">
        <f>'CTOS_VS_ING_OPER-INV_INFRAEST'!G398</f>
        <v>0</v>
      </c>
      <c r="D26" s="210">
        <f>'CTOS_VS_ING_OPER-INV_INFRAEST'!H398</f>
        <v>0</v>
      </c>
      <c r="E26" s="210">
        <f>'CTOS_VS_ING_OPER-INV_INFRAEST'!I398</f>
        <v>0</v>
      </c>
      <c r="F26" s="210">
        <f>'CTOS_VS_ING_OPER-INV_INFRAEST'!J398</f>
        <v>0</v>
      </c>
      <c r="G26" s="210">
        <f>'CTOS_VS_ING_OPER-INV_INFRAEST'!K398</f>
        <v>0</v>
      </c>
      <c r="H26" s="215"/>
    </row>
    <row r="27" spans="1:8" x14ac:dyDescent="0.25">
      <c r="A27" s="209" t="s">
        <v>932</v>
      </c>
      <c r="B27" s="210"/>
      <c r="C27" s="210">
        <f>'CTOS_VS_ING_OPER-INV_INFRAEST'!G399</f>
        <v>0</v>
      </c>
      <c r="D27" s="210">
        <f>'CTOS_VS_ING_OPER-INV_INFRAEST'!H399</f>
        <v>0</v>
      </c>
      <c r="E27" s="210">
        <f>'CTOS_VS_ING_OPER-INV_INFRAEST'!I399</f>
        <v>0</v>
      </c>
      <c r="F27" s="210">
        <f>'CTOS_VS_ING_OPER-INV_INFRAEST'!J399</f>
        <v>0</v>
      </c>
      <c r="G27" s="210">
        <f>'CTOS_VS_ING_OPER-INV_INFRAEST'!K399</f>
        <v>0</v>
      </c>
      <c r="H27" s="215"/>
    </row>
    <row r="28" spans="1:8" x14ac:dyDescent="0.25">
      <c r="A28" s="212" t="s">
        <v>1070</v>
      </c>
      <c r="B28" s="216">
        <f t="shared" ref="B28:G28" si="5">B26+B27</f>
        <v>0</v>
      </c>
      <c r="C28" s="216">
        <f t="shared" si="5"/>
        <v>0</v>
      </c>
      <c r="D28" s="216">
        <f t="shared" si="5"/>
        <v>0</v>
      </c>
      <c r="E28" s="216">
        <f t="shared" si="5"/>
        <v>0</v>
      </c>
      <c r="F28" s="216">
        <f t="shared" si="5"/>
        <v>0</v>
      </c>
      <c r="G28" s="216">
        <f t="shared" si="5"/>
        <v>0</v>
      </c>
    </row>
    <row r="29" spans="1:8" ht="18.75" x14ac:dyDescent="0.3">
      <c r="A29" s="707" t="s">
        <v>1071</v>
      </c>
      <c r="B29" s="708"/>
      <c r="C29" s="708"/>
      <c r="D29" s="708"/>
      <c r="E29" s="708"/>
      <c r="F29" s="708"/>
      <c r="G29" s="709"/>
    </row>
    <row r="30" spans="1:8" x14ac:dyDescent="0.25">
      <c r="A30" s="217" t="s">
        <v>882</v>
      </c>
      <c r="B30" s="218">
        <f>'CTOS_VS_ING_OPER-INV_INFRAEST'!F412</f>
        <v>0</v>
      </c>
      <c r="C30" s="218">
        <f>'CTOS_VS_ING_OPER-INV_INFRAEST'!G412</f>
        <v>0</v>
      </c>
      <c r="D30" s="218">
        <f>'CTOS_VS_ING_OPER-INV_INFRAEST'!H412</f>
        <v>0</v>
      </c>
      <c r="E30" s="218">
        <f>'CTOS_VS_ING_OPER-INV_INFRAEST'!I412</f>
        <v>0</v>
      </c>
      <c r="F30" s="218">
        <f>'CTOS_VS_ING_OPER-INV_INFRAEST'!J412</f>
        <v>0</v>
      </c>
      <c r="G30" s="218">
        <f>'CTOS_VS_ING_OPER-INV_INFRAEST'!K412</f>
        <v>0</v>
      </c>
      <c r="H30" s="215"/>
    </row>
    <row r="31" spans="1:8" x14ac:dyDescent="0.25">
      <c r="A31" s="219" t="s">
        <v>1072</v>
      </c>
      <c r="B31" s="220">
        <f>'CTOS_VS_ING_OPER-INV_INFRAEST'!F363</f>
        <v>0</v>
      </c>
      <c r="C31" s="220">
        <f>'CTOS_VS_ING_OPER-INV_INFRAEST'!G363</f>
        <v>0</v>
      </c>
      <c r="D31" s="220">
        <f>'CTOS_VS_ING_OPER-INV_INFRAEST'!H363</f>
        <v>0</v>
      </c>
      <c r="E31" s="220">
        <f>'CTOS_VS_ING_OPER-INV_INFRAEST'!I363</f>
        <v>0</v>
      </c>
      <c r="F31" s="220">
        <f>'CTOS_VS_ING_OPER-INV_INFRAEST'!J363</f>
        <v>0</v>
      </c>
      <c r="G31" s="220">
        <f>'CTOS_VS_ING_OPER-INV_INFRAEST'!K363</f>
        <v>0</v>
      </c>
      <c r="H31" s="215"/>
    </row>
    <row r="32" spans="1:8" x14ac:dyDescent="0.25">
      <c r="A32" s="219" t="s">
        <v>1073</v>
      </c>
      <c r="B32" s="220"/>
      <c r="C32" s="220">
        <f>'CTOS_VS_ING_OPER-INV_INFRAEST'!G364</f>
        <v>0</v>
      </c>
      <c r="D32" s="220">
        <f>'CTOS_VS_ING_OPER-INV_INFRAEST'!H364</f>
        <v>0</v>
      </c>
      <c r="E32" s="220">
        <f>'CTOS_VS_ING_OPER-INV_INFRAEST'!I364</f>
        <v>0</v>
      </c>
      <c r="F32" s="220">
        <f>'CTOS_VS_ING_OPER-INV_INFRAEST'!J364</f>
        <v>0</v>
      </c>
      <c r="G32" s="220">
        <f>'CTOS_VS_ING_OPER-INV_INFRAEST'!K364</f>
        <v>0</v>
      </c>
      <c r="H32" s="215"/>
    </row>
    <row r="33" spans="1:8" x14ac:dyDescent="0.25">
      <c r="A33" s="219" t="s">
        <v>1074</v>
      </c>
      <c r="B33" s="220">
        <f t="shared" ref="B33:G33" si="6">B31+B32</f>
        <v>0</v>
      </c>
      <c r="C33" s="220">
        <f t="shared" si="6"/>
        <v>0</v>
      </c>
      <c r="D33" s="220">
        <f t="shared" si="6"/>
        <v>0</v>
      </c>
      <c r="E33" s="220">
        <f t="shared" si="6"/>
        <v>0</v>
      </c>
      <c r="F33" s="220">
        <f t="shared" si="6"/>
        <v>0</v>
      </c>
      <c r="G33" s="220">
        <f t="shared" si="6"/>
        <v>0</v>
      </c>
      <c r="H33" s="215"/>
    </row>
    <row r="34" spans="1:8" x14ac:dyDescent="0.25">
      <c r="A34" s="217" t="s">
        <v>1075</v>
      </c>
      <c r="B34" s="218">
        <f>'CTOS_VS_ING_OPER-INV_INFRAEST'!F368</f>
        <v>0</v>
      </c>
      <c r="C34" s="218">
        <f>'CTOS_VS_ING_OPER-INV_INFRAEST'!G368</f>
        <v>0</v>
      </c>
      <c r="D34" s="218">
        <f>'CTOS_VS_ING_OPER-INV_INFRAEST'!H368</f>
        <v>0</v>
      </c>
      <c r="E34" s="218">
        <f>'CTOS_VS_ING_OPER-INV_INFRAEST'!I368</f>
        <v>0</v>
      </c>
      <c r="F34" s="218">
        <f>'CTOS_VS_ING_OPER-INV_INFRAEST'!J368</f>
        <v>0</v>
      </c>
      <c r="G34" s="218">
        <f>'CTOS_VS_ING_OPER-INV_INFRAEST'!K368</f>
        <v>0</v>
      </c>
      <c r="H34" s="215"/>
    </row>
    <row r="35" spans="1:8" x14ac:dyDescent="0.25">
      <c r="A35" s="217" t="s">
        <v>1076</v>
      </c>
      <c r="B35" s="218"/>
      <c r="C35" s="218">
        <f>'CTOS_VS_ING_OPER-INV_INFRAEST'!G369</f>
        <v>0</v>
      </c>
      <c r="D35" s="218">
        <f>'CTOS_VS_ING_OPER-INV_INFRAEST'!H369</f>
        <v>0</v>
      </c>
      <c r="E35" s="218">
        <f>'CTOS_VS_ING_OPER-INV_INFRAEST'!I369</f>
        <v>0</v>
      </c>
      <c r="F35" s="218">
        <f>'CTOS_VS_ING_OPER-INV_INFRAEST'!J369</f>
        <v>0</v>
      </c>
      <c r="G35" s="218">
        <f>'CTOS_VS_ING_OPER-INV_INFRAEST'!K369</f>
        <v>0</v>
      </c>
      <c r="H35" s="215"/>
    </row>
    <row r="36" spans="1:8" x14ac:dyDescent="0.25">
      <c r="A36" s="217" t="s">
        <v>1077</v>
      </c>
      <c r="B36" s="218">
        <f>B34+B35</f>
        <v>0</v>
      </c>
      <c r="C36" s="218">
        <f t="shared" ref="C36:G36" si="7">C34+C35</f>
        <v>0</v>
      </c>
      <c r="D36" s="218">
        <f t="shared" si="7"/>
        <v>0</v>
      </c>
      <c r="E36" s="218">
        <f t="shared" si="7"/>
        <v>0</v>
      </c>
      <c r="F36" s="218">
        <f t="shared" si="7"/>
        <v>0</v>
      </c>
      <c r="G36" s="218">
        <f t="shared" si="7"/>
        <v>0</v>
      </c>
      <c r="H36" s="215"/>
    </row>
    <row r="37" spans="1:8" x14ac:dyDescent="0.25">
      <c r="A37" s="219" t="s">
        <v>1078</v>
      </c>
      <c r="B37" s="220">
        <f>'CTOS_VS_ING_OPER-INV_INFRAEST'!F373</f>
        <v>0</v>
      </c>
      <c r="C37" s="220">
        <f>'CTOS_VS_ING_OPER-INV_INFRAEST'!G373</f>
        <v>0</v>
      </c>
      <c r="D37" s="220">
        <f>'CTOS_VS_ING_OPER-INV_INFRAEST'!H373</f>
        <v>0</v>
      </c>
      <c r="E37" s="220">
        <f>'CTOS_VS_ING_OPER-INV_INFRAEST'!I373</f>
        <v>0</v>
      </c>
      <c r="F37" s="220">
        <f>'CTOS_VS_ING_OPER-INV_INFRAEST'!J373</f>
        <v>0</v>
      </c>
      <c r="G37" s="220">
        <f>'CTOS_VS_ING_OPER-INV_INFRAEST'!K373</f>
        <v>0</v>
      </c>
      <c r="H37" s="215"/>
    </row>
    <row r="38" spans="1:8" x14ac:dyDescent="0.25">
      <c r="A38" s="219" t="s">
        <v>1079</v>
      </c>
      <c r="B38" s="220"/>
      <c r="C38" s="220">
        <f>'CTOS_VS_ING_OPER-INV_INFRAEST'!G374</f>
        <v>0</v>
      </c>
      <c r="D38" s="220">
        <f>'CTOS_VS_ING_OPER-INV_INFRAEST'!H374</f>
        <v>0</v>
      </c>
      <c r="E38" s="220">
        <f>'CTOS_VS_ING_OPER-INV_INFRAEST'!I374</f>
        <v>0</v>
      </c>
      <c r="F38" s="220">
        <f>'CTOS_VS_ING_OPER-INV_INFRAEST'!J374</f>
        <v>0</v>
      </c>
      <c r="G38" s="220">
        <f>'CTOS_VS_ING_OPER-INV_INFRAEST'!K374</f>
        <v>0</v>
      </c>
      <c r="H38" s="215"/>
    </row>
    <row r="39" spans="1:8" x14ac:dyDescent="0.25">
      <c r="A39" s="219" t="s">
        <v>1080</v>
      </c>
      <c r="B39" s="220">
        <f t="shared" ref="B39:G39" si="8">B37+B38</f>
        <v>0</v>
      </c>
      <c r="C39" s="220">
        <f t="shared" si="8"/>
        <v>0</v>
      </c>
      <c r="D39" s="220">
        <f t="shared" si="8"/>
        <v>0</v>
      </c>
      <c r="E39" s="220">
        <f t="shared" si="8"/>
        <v>0</v>
      </c>
      <c r="F39" s="220">
        <f t="shared" si="8"/>
        <v>0</v>
      </c>
      <c r="G39" s="220">
        <f t="shared" si="8"/>
        <v>0</v>
      </c>
      <c r="H39" s="215"/>
    </row>
    <row r="40" spans="1:8" x14ac:dyDescent="0.25">
      <c r="A40" s="217" t="s">
        <v>1081</v>
      </c>
      <c r="B40" s="218">
        <f>'CTOS_VS_ING_OPER-INV_INFRAEST'!F378</f>
        <v>0</v>
      </c>
      <c r="C40" s="218">
        <f>'CTOS_VS_ING_OPER-INV_INFRAEST'!G378</f>
        <v>0</v>
      </c>
      <c r="D40" s="218">
        <f>'CTOS_VS_ING_OPER-INV_INFRAEST'!H378</f>
        <v>0</v>
      </c>
      <c r="E40" s="218">
        <f>'CTOS_VS_ING_OPER-INV_INFRAEST'!I378</f>
        <v>0</v>
      </c>
      <c r="F40" s="218">
        <f>'CTOS_VS_ING_OPER-INV_INFRAEST'!J378</f>
        <v>0</v>
      </c>
      <c r="G40" s="218">
        <f>'CTOS_VS_ING_OPER-INV_INFRAEST'!K378</f>
        <v>0</v>
      </c>
      <c r="H40" s="215"/>
    </row>
    <row r="41" spans="1:8" x14ac:dyDescent="0.25">
      <c r="A41" s="217" t="s">
        <v>1079</v>
      </c>
      <c r="B41" s="218"/>
      <c r="C41" s="218">
        <f>'CTOS_VS_ING_OPER-INV_INFRAEST'!G379</f>
        <v>0</v>
      </c>
      <c r="D41" s="218">
        <f>'CTOS_VS_ING_OPER-INV_INFRAEST'!H379</f>
        <v>0</v>
      </c>
      <c r="E41" s="218">
        <f>'CTOS_VS_ING_OPER-INV_INFRAEST'!I379</f>
        <v>0</v>
      </c>
      <c r="F41" s="218">
        <f>'CTOS_VS_ING_OPER-INV_INFRAEST'!J379</f>
        <v>0</v>
      </c>
      <c r="G41" s="218">
        <f>'CTOS_VS_ING_OPER-INV_INFRAEST'!K379</f>
        <v>0</v>
      </c>
      <c r="H41" s="215"/>
    </row>
    <row r="42" spans="1:8" x14ac:dyDescent="0.25">
      <c r="A42" s="217" t="s">
        <v>1082</v>
      </c>
      <c r="B42" s="218">
        <f t="shared" ref="B42:G42" si="9">B40+B41</f>
        <v>0</v>
      </c>
      <c r="C42" s="218">
        <f t="shared" si="9"/>
        <v>0</v>
      </c>
      <c r="D42" s="218">
        <f t="shared" si="9"/>
        <v>0</v>
      </c>
      <c r="E42" s="218">
        <f t="shared" si="9"/>
        <v>0</v>
      </c>
      <c r="F42" s="218">
        <f t="shared" si="9"/>
        <v>0</v>
      </c>
      <c r="G42" s="218">
        <f t="shared" si="9"/>
        <v>0</v>
      </c>
      <c r="H42" s="215"/>
    </row>
    <row r="43" spans="1:8" x14ac:dyDescent="0.25">
      <c r="A43" s="219" t="s">
        <v>1083</v>
      </c>
      <c r="B43" s="220">
        <f>'CTOS_VS_ING_OPER-INV_INFRAEST'!F383</f>
        <v>0</v>
      </c>
      <c r="C43" s="220">
        <f>'CTOS_VS_ING_OPER-INV_INFRAEST'!G383</f>
        <v>0</v>
      </c>
      <c r="D43" s="220">
        <f>'CTOS_VS_ING_OPER-INV_INFRAEST'!H383</f>
        <v>0</v>
      </c>
      <c r="E43" s="220">
        <f>'CTOS_VS_ING_OPER-INV_INFRAEST'!I383</f>
        <v>0</v>
      </c>
      <c r="F43" s="220">
        <f>'CTOS_VS_ING_OPER-INV_INFRAEST'!J383</f>
        <v>0</v>
      </c>
      <c r="G43" s="220">
        <f>'CTOS_VS_ING_OPER-INV_INFRAEST'!K383</f>
        <v>0</v>
      </c>
      <c r="H43" s="215"/>
    </row>
    <row r="44" spans="1:8" x14ac:dyDescent="0.25">
      <c r="A44" s="219" t="s">
        <v>1079</v>
      </c>
      <c r="B44" s="220"/>
      <c r="C44" s="220">
        <f>'CTOS_VS_ING_OPER-INV_INFRAEST'!G384</f>
        <v>0</v>
      </c>
      <c r="D44" s="220">
        <f>'CTOS_VS_ING_OPER-INV_INFRAEST'!H384</f>
        <v>0</v>
      </c>
      <c r="E44" s="220">
        <f>'CTOS_VS_ING_OPER-INV_INFRAEST'!I384</f>
        <v>0</v>
      </c>
      <c r="F44" s="220">
        <f>'CTOS_VS_ING_OPER-INV_INFRAEST'!J384</f>
        <v>0</v>
      </c>
      <c r="G44" s="220">
        <f>'CTOS_VS_ING_OPER-INV_INFRAEST'!K384</f>
        <v>0</v>
      </c>
      <c r="H44" s="215"/>
    </row>
    <row r="45" spans="1:8" x14ac:dyDescent="0.25">
      <c r="A45" s="219" t="s">
        <v>1084</v>
      </c>
      <c r="B45" s="220">
        <f t="shared" ref="B45:G45" si="10">B43+B44</f>
        <v>0</v>
      </c>
      <c r="C45" s="220">
        <f t="shared" si="10"/>
        <v>0</v>
      </c>
      <c r="D45" s="220">
        <f t="shared" si="10"/>
        <v>0</v>
      </c>
      <c r="E45" s="220">
        <f t="shared" si="10"/>
        <v>0</v>
      </c>
      <c r="F45" s="220">
        <f t="shared" si="10"/>
        <v>0</v>
      </c>
      <c r="G45" s="220">
        <f t="shared" si="10"/>
        <v>0</v>
      </c>
      <c r="H45" s="215"/>
    </row>
    <row r="46" spans="1:8" x14ac:dyDescent="0.25">
      <c r="A46" s="217" t="s">
        <v>1085</v>
      </c>
      <c r="B46" s="218">
        <f>'CTOS_VS_ING_OPER-INV_INFRAEST'!F388</f>
        <v>0</v>
      </c>
      <c r="C46" s="218">
        <f>'CTOS_VS_ING_OPER-INV_INFRAEST'!G388</f>
        <v>0</v>
      </c>
      <c r="D46" s="218">
        <f>'CTOS_VS_ING_OPER-INV_INFRAEST'!H388</f>
        <v>0</v>
      </c>
      <c r="E46" s="218">
        <f>'CTOS_VS_ING_OPER-INV_INFRAEST'!I388</f>
        <v>0</v>
      </c>
      <c r="F46" s="218">
        <f>'CTOS_VS_ING_OPER-INV_INFRAEST'!J388</f>
        <v>0</v>
      </c>
      <c r="G46" s="218">
        <f>'CTOS_VS_ING_OPER-INV_INFRAEST'!K388</f>
        <v>0</v>
      </c>
      <c r="H46" s="215"/>
    </row>
    <row r="47" spans="1:8" x14ac:dyDescent="0.25">
      <c r="A47" s="217" t="s">
        <v>1086</v>
      </c>
      <c r="B47" s="218"/>
      <c r="C47" s="218">
        <f>'CTOS_VS_ING_OPER-INV_INFRAEST'!G389</f>
        <v>0</v>
      </c>
      <c r="D47" s="218">
        <f>'CTOS_VS_ING_OPER-INV_INFRAEST'!H389</f>
        <v>0</v>
      </c>
      <c r="E47" s="218">
        <f>'CTOS_VS_ING_OPER-INV_INFRAEST'!I389</f>
        <v>0</v>
      </c>
      <c r="F47" s="218">
        <f>'CTOS_VS_ING_OPER-INV_INFRAEST'!J389</f>
        <v>0</v>
      </c>
      <c r="G47" s="218">
        <f>'CTOS_VS_ING_OPER-INV_INFRAEST'!K389</f>
        <v>0</v>
      </c>
      <c r="H47" s="215"/>
    </row>
    <row r="48" spans="1:8" x14ac:dyDescent="0.25">
      <c r="A48" s="217" t="s">
        <v>1085</v>
      </c>
      <c r="B48" s="218">
        <f>B46+B47</f>
        <v>0</v>
      </c>
      <c r="C48" s="218">
        <f t="shared" ref="C48:G48" si="11">C46+C47</f>
        <v>0</v>
      </c>
      <c r="D48" s="218">
        <f t="shared" si="11"/>
        <v>0</v>
      </c>
      <c r="E48" s="218">
        <f t="shared" si="11"/>
        <v>0</v>
      </c>
      <c r="F48" s="218">
        <f t="shared" si="11"/>
        <v>0</v>
      </c>
      <c r="G48" s="218">
        <f t="shared" si="11"/>
        <v>0</v>
      </c>
      <c r="H48" s="215"/>
    </row>
    <row r="49" spans="1:8" x14ac:dyDescent="0.25">
      <c r="A49" s="219" t="s">
        <v>1087</v>
      </c>
      <c r="B49" s="220">
        <f>'CTOS_VS_ING_OPER-INV_INFRAEST'!F393</f>
        <v>0</v>
      </c>
      <c r="C49" s="220">
        <f>'CTOS_VS_ING_OPER-INV_INFRAEST'!G393</f>
        <v>0</v>
      </c>
      <c r="D49" s="220">
        <f>'CTOS_VS_ING_OPER-INV_INFRAEST'!H393</f>
        <v>0</v>
      </c>
      <c r="E49" s="220">
        <f>'CTOS_VS_ING_OPER-INV_INFRAEST'!I393</f>
        <v>0</v>
      </c>
      <c r="F49" s="220">
        <f>'CTOS_VS_ING_OPER-INV_INFRAEST'!J393</f>
        <v>0</v>
      </c>
      <c r="G49" s="220">
        <f>'CTOS_VS_ING_OPER-INV_INFRAEST'!K393</f>
        <v>0</v>
      </c>
      <c r="H49" s="215"/>
    </row>
    <row r="50" spans="1:8" x14ac:dyDescent="0.25">
      <c r="A50" s="219" t="s">
        <v>1086</v>
      </c>
      <c r="B50" s="220"/>
      <c r="C50" s="220">
        <f>'CTOS_VS_ING_OPER-INV_INFRAEST'!G394</f>
        <v>0</v>
      </c>
      <c r="D50" s="220">
        <f>'CTOS_VS_ING_OPER-INV_INFRAEST'!H394</f>
        <v>0</v>
      </c>
      <c r="E50" s="220">
        <f>'CTOS_VS_ING_OPER-INV_INFRAEST'!I394</f>
        <v>0</v>
      </c>
      <c r="F50" s="220">
        <f>'CTOS_VS_ING_OPER-INV_INFRAEST'!J394</f>
        <v>0</v>
      </c>
      <c r="G50" s="220">
        <f>'CTOS_VS_ING_OPER-INV_INFRAEST'!K394</f>
        <v>0</v>
      </c>
      <c r="H50" s="215"/>
    </row>
    <row r="51" spans="1:8" x14ac:dyDescent="0.25">
      <c r="A51" s="219" t="s">
        <v>1088</v>
      </c>
      <c r="B51" s="220">
        <f>B49+B50</f>
        <v>0</v>
      </c>
      <c r="C51" s="220">
        <f t="shared" ref="C51:G51" si="12">C49+C50</f>
        <v>0</v>
      </c>
      <c r="D51" s="220">
        <f t="shared" si="12"/>
        <v>0</v>
      </c>
      <c r="E51" s="220">
        <f t="shared" si="12"/>
        <v>0</v>
      </c>
      <c r="F51" s="220">
        <f t="shared" si="12"/>
        <v>0</v>
      </c>
      <c r="G51" s="220">
        <f t="shared" si="12"/>
        <v>0</v>
      </c>
      <c r="H51" s="215"/>
    </row>
    <row r="52" spans="1:8" x14ac:dyDescent="0.25">
      <c r="A52" s="221" t="s">
        <v>1089</v>
      </c>
      <c r="B52" s="216">
        <f>B30+B33+B36+B39+B42+B45+B48+B51</f>
        <v>0</v>
      </c>
      <c r="C52" s="216">
        <f t="shared" ref="C52:G52" si="13">C30+C33+C36+C39+C42+C45+C48+C51</f>
        <v>0</v>
      </c>
      <c r="D52" s="216">
        <f t="shared" si="13"/>
        <v>0</v>
      </c>
      <c r="E52" s="216">
        <f t="shared" si="13"/>
        <v>0</v>
      </c>
      <c r="F52" s="216">
        <f t="shared" si="13"/>
        <v>0</v>
      </c>
      <c r="G52" s="216">
        <f t="shared" si="13"/>
        <v>0</v>
      </c>
    </row>
    <row r="53" spans="1:8" ht="18.75" x14ac:dyDescent="0.3">
      <c r="A53" s="700" t="s">
        <v>954</v>
      </c>
      <c r="B53" s="701"/>
      <c r="C53" s="701"/>
      <c r="D53" s="701"/>
      <c r="E53" s="701"/>
      <c r="F53" s="701"/>
      <c r="G53" s="702"/>
    </row>
    <row r="54" spans="1:8" x14ac:dyDescent="0.25">
      <c r="A54" s="217" t="s">
        <v>954</v>
      </c>
      <c r="B54" s="222">
        <f>'CTOS_VS_ING_OPER-INV_INFRAEST'!F403</f>
        <v>0</v>
      </c>
      <c r="C54" s="222">
        <f>'CTOS_VS_ING_OPER-INV_INFRAEST'!G403</f>
        <v>0</v>
      </c>
      <c r="D54" s="222">
        <f>'CTOS_VS_ING_OPER-INV_INFRAEST'!H403</f>
        <v>0</v>
      </c>
      <c r="E54" s="222">
        <f>'CTOS_VS_ING_OPER-INV_INFRAEST'!I403</f>
        <v>0</v>
      </c>
      <c r="F54" s="222">
        <f>'CTOS_VS_ING_OPER-INV_INFRAEST'!J403</f>
        <v>0</v>
      </c>
      <c r="G54" s="222">
        <f>'CTOS_VS_ING_OPER-INV_INFRAEST'!K403</f>
        <v>0</v>
      </c>
      <c r="H54" s="215"/>
    </row>
    <row r="55" spans="1:8" x14ac:dyDescent="0.25">
      <c r="A55" s="217" t="s">
        <v>1090</v>
      </c>
      <c r="B55" s="222">
        <f>'CTOS_VS_ING_OPER-INV_INFRAEST'!F405</f>
        <v>0</v>
      </c>
      <c r="C55" s="222">
        <f>'CTOS_VS_ING_OPER-INV_INFRAEST'!G405</f>
        <v>0</v>
      </c>
      <c r="D55" s="222">
        <f>'CTOS_VS_ING_OPER-INV_INFRAEST'!H405</f>
        <v>0</v>
      </c>
      <c r="E55" s="222">
        <f>'CTOS_VS_ING_OPER-INV_INFRAEST'!I405</f>
        <v>0</v>
      </c>
      <c r="F55" s="222">
        <f>'CTOS_VS_ING_OPER-INV_INFRAEST'!J405</f>
        <v>0</v>
      </c>
      <c r="G55" s="222">
        <f>'CTOS_VS_ING_OPER-INV_INFRAEST'!K405</f>
        <v>0</v>
      </c>
      <c r="H55" s="215"/>
    </row>
    <row r="56" spans="1:8" x14ac:dyDescent="0.25">
      <c r="A56" s="217" t="s">
        <v>954</v>
      </c>
      <c r="B56" s="222">
        <f>B54+B55</f>
        <v>0</v>
      </c>
      <c r="C56" s="222">
        <f t="shared" ref="C56:G56" si="14">C54+C55</f>
        <v>0</v>
      </c>
      <c r="D56" s="222">
        <f t="shared" si="14"/>
        <v>0</v>
      </c>
      <c r="E56" s="222">
        <f t="shared" si="14"/>
        <v>0</v>
      </c>
      <c r="F56" s="222">
        <f t="shared" si="14"/>
        <v>0</v>
      </c>
      <c r="G56" s="222">
        <f t="shared" si="14"/>
        <v>0</v>
      </c>
      <c r="H56" s="215"/>
    </row>
    <row r="57" spans="1:8" ht="15.75" thickBot="1" x14ac:dyDescent="0.3">
      <c r="A57" s="223" t="s">
        <v>1091</v>
      </c>
      <c r="B57" s="224" t="e">
        <f t="shared" ref="B57:G57" si="15">B25+B28+B52+B56</f>
        <v>#N/A</v>
      </c>
      <c r="C57" s="224" t="e">
        <f t="shared" si="15"/>
        <v>#N/A</v>
      </c>
      <c r="D57" s="224" t="e">
        <f t="shared" si="15"/>
        <v>#N/A</v>
      </c>
      <c r="E57" s="224" t="e">
        <f t="shared" si="15"/>
        <v>#N/A</v>
      </c>
      <c r="F57" s="224" t="e">
        <f t="shared" si="15"/>
        <v>#N/A</v>
      </c>
      <c r="G57" s="224" t="e">
        <f t="shared" si="15"/>
        <v>#N/A</v>
      </c>
    </row>
    <row r="59" spans="1:8" ht="15.75" thickBot="1" x14ac:dyDescent="0.3"/>
    <row r="60" spans="1:8" ht="18.75" x14ac:dyDescent="0.3">
      <c r="A60" s="697" t="s">
        <v>1092</v>
      </c>
      <c r="B60" s="698"/>
      <c r="C60" s="698"/>
      <c r="D60" s="698"/>
      <c r="E60" s="698"/>
      <c r="F60" s="698"/>
      <c r="G60" s="699"/>
    </row>
    <row r="61" spans="1:8" x14ac:dyDescent="0.25">
      <c r="A61" s="225" t="s">
        <v>1058</v>
      </c>
      <c r="B61" s="226">
        <f t="shared" ref="B61:G61" si="16">C15</f>
        <v>0</v>
      </c>
      <c r="C61" s="226" t="e">
        <f t="shared" si="16"/>
        <v>#N/A</v>
      </c>
      <c r="D61" s="226" t="e">
        <f t="shared" si="16"/>
        <v>#N/A</v>
      </c>
      <c r="E61" s="226" t="e">
        <f t="shared" si="16"/>
        <v>#N/A</v>
      </c>
      <c r="F61" s="226" t="e">
        <f t="shared" si="16"/>
        <v>#N/A</v>
      </c>
      <c r="G61" s="226" t="e">
        <f t="shared" si="16"/>
        <v>#N/A</v>
      </c>
    </row>
    <row r="62" spans="1:8" x14ac:dyDescent="0.25">
      <c r="A62" s="225" t="s">
        <v>1093</v>
      </c>
      <c r="B62" s="226" t="e">
        <f>ESTADO_DE_RESULTADOS!B28</f>
        <v>#N/A</v>
      </c>
      <c r="C62" s="226" t="e">
        <f>ESTADO_DE_RESULTADOS!C28</f>
        <v>#N/A</v>
      </c>
      <c r="D62" s="226" t="e">
        <f>ESTADO_DE_RESULTADOS!D28</f>
        <v>#N/A</v>
      </c>
      <c r="E62" s="226" t="e">
        <f>ESTADO_DE_RESULTADOS!E28</f>
        <v>#N/A</v>
      </c>
      <c r="F62" s="226" t="e">
        <f>ESTADO_DE_RESULTADOS!F28</f>
        <v>#N/A</v>
      </c>
      <c r="G62" s="226">
        <f>ESTADO_DE_RESULTADOS!G29</f>
        <v>0</v>
      </c>
    </row>
    <row r="63" spans="1:8" x14ac:dyDescent="0.25">
      <c r="A63" s="221" t="s">
        <v>1094</v>
      </c>
      <c r="B63" s="216" t="e">
        <f t="shared" ref="B63:G63" si="17">SUM(B61:B62)</f>
        <v>#N/A</v>
      </c>
      <c r="C63" s="216" t="e">
        <f t="shared" si="17"/>
        <v>#N/A</v>
      </c>
      <c r="D63" s="216" t="e">
        <f t="shared" si="17"/>
        <v>#N/A</v>
      </c>
      <c r="E63" s="216" t="e">
        <f t="shared" si="17"/>
        <v>#N/A</v>
      </c>
      <c r="F63" s="216" t="e">
        <f t="shared" si="17"/>
        <v>#N/A</v>
      </c>
      <c r="G63" s="216" t="e">
        <f t="shared" si="17"/>
        <v>#N/A</v>
      </c>
    </row>
    <row r="64" spans="1:8" x14ac:dyDescent="0.25">
      <c r="A64" s="225" t="s">
        <v>1095</v>
      </c>
      <c r="B64" s="226" t="e">
        <f>NECESIDADES_DE_FINANCIACION!E21</f>
        <v>#N/A</v>
      </c>
      <c r="C64" s="226" t="e">
        <f>NECESIDADES_DE_FINANCIACION!G28*-1</f>
        <v>#N/A</v>
      </c>
      <c r="D64" s="226" t="e">
        <f>NECESIDADES_DE_FINANCIACION!G29*-1</f>
        <v>#N/A</v>
      </c>
      <c r="E64" s="226" t="e">
        <f>NECESIDADES_DE_FINANCIACION!G30*-1</f>
        <v>#N/A</v>
      </c>
      <c r="F64" s="226" t="e">
        <f>NECESIDADES_DE_FINANCIACION!G31*-1</f>
        <v>#N/A</v>
      </c>
      <c r="G64" s="226" t="e">
        <f>NECESIDADES_DE_FINANCIACION!G32*-1</f>
        <v>#N/A</v>
      </c>
    </row>
    <row r="65" spans="1:7" x14ac:dyDescent="0.25">
      <c r="A65" s="221" t="s">
        <v>1096</v>
      </c>
      <c r="B65" s="216" t="e">
        <f t="shared" ref="B65:G65" si="18">B63+B64</f>
        <v>#N/A</v>
      </c>
      <c r="C65" s="216" t="e">
        <f t="shared" si="18"/>
        <v>#N/A</v>
      </c>
      <c r="D65" s="216" t="e">
        <f t="shared" si="18"/>
        <v>#N/A</v>
      </c>
      <c r="E65" s="216" t="e">
        <f t="shared" si="18"/>
        <v>#N/A</v>
      </c>
      <c r="F65" s="216" t="e">
        <f t="shared" si="18"/>
        <v>#N/A</v>
      </c>
      <c r="G65" s="216" t="e">
        <f t="shared" si="18"/>
        <v>#N/A</v>
      </c>
    </row>
    <row r="66" spans="1:7" ht="18.75" x14ac:dyDescent="0.3">
      <c r="A66" s="700" t="s">
        <v>1097</v>
      </c>
      <c r="B66" s="701"/>
      <c r="C66" s="701"/>
      <c r="D66" s="701"/>
      <c r="E66" s="701"/>
      <c r="F66" s="701"/>
      <c r="G66" s="702"/>
    </row>
    <row r="67" spans="1:7" x14ac:dyDescent="0.25">
      <c r="A67" s="227" t="s">
        <v>1098</v>
      </c>
      <c r="B67" s="228">
        <f>NECESIDADES_DE_FINANCIACION!E20</f>
        <v>0</v>
      </c>
      <c r="C67" s="228">
        <f>B67+FLUJO_DE_CAJA!B39</f>
        <v>0</v>
      </c>
      <c r="D67" s="228">
        <f>C67+FLUJO_DE_CAJA!C39</f>
        <v>0</v>
      </c>
      <c r="E67" s="228">
        <f>D67+FLUJO_DE_CAJA!D39</f>
        <v>0</v>
      </c>
      <c r="F67" s="228">
        <f>E67+FLUJO_DE_CAJA!E39</f>
        <v>0</v>
      </c>
      <c r="G67" s="228">
        <f>F67+FLUJO_DE_CAJA!F39</f>
        <v>0</v>
      </c>
    </row>
    <row r="68" spans="1:7" x14ac:dyDescent="0.25">
      <c r="A68" s="227" t="s">
        <v>1099</v>
      </c>
      <c r="B68" s="228">
        <f>0</f>
        <v>0</v>
      </c>
      <c r="C68" s="228" t="e">
        <f>ESTADO_DE_RESULTADOS!B29</f>
        <v>#N/A</v>
      </c>
      <c r="D68" s="228" t="e">
        <f>ESTADO_DE_RESULTADOS!C29</f>
        <v>#N/A</v>
      </c>
      <c r="E68" s="228" t="e">
        <f>ESTADO_DE_RESULTADOS!D29</f>
        <v>#N/A</v>
      </c>
      <c r="F68" s="228" t="e">
        <f>ESTADO_DE_RESULTADOS!E29</f>
        <v>#N/A</v>
      </c>
      <c r="G68" s="228" t="e">
        <f>ESTADO_DE_RESULTADOS!F29</f>
        <v>#N/A</v>
      </c>
    </row>
    <row r="69" spans="1:7" x14ac:dyDescent="0.25">
      <c r="A69" s="227" t="s">
        <v>1100</v>
      </c>
      <c r="B69" s="228">
        <f>0</f>
        <v>0</v>
      </c>
      <c r="C69" s="228">
        <f>ESTADO_DE_RESULTADOS!B35</f>
        <v>0</v>
      </c>
      <c r="D69" s="228" t="e">
        <f>ESTADO_DE_RESULTADOS!C35</f>
        <v>#N/A</v>
      </c>
      <c r="E69" s="228" t="e">
        <f>ESTADO_DE_RESULTADOS!D35</f>
        <v>#N/A</v>
      </c>
      <c r="F69" s="228" t="e">
        <f>ESTADO_DE_RESULTADOS!E35</f>
        <v>#N/A</v>
      </c>
      <c r="G69" s="228" t="e">
        <f>ESTADO_DE_RESULTADOS!F35</f>
        <v>#N/A</v>
      </c>
    </row>
    <row r="70" spans="1:7" x14ac:dyDescent="0.25">
      <c r="A70" s="227" t="s">
        <v>1101</v>
      </c>
      <c r="B70" s="228">
        <f>0</f>
        <v>0</v>
      </c>
      <c r="C70" s="228" t="e">
        <f>ESTADO_DE_RESULTADOS!B31</f>
        <v>#N/A</v>
      </c>
      <c r="D70" s="228" t="e">
        <f>ESTADO_DE_RESULTADOS!C31</f>
        <v>#N/A</v>
      </c>
      <c r="E70" s="228" t="e">
        <f>ESTADO_DE_RESULTADOS!D31</f>
        <v>#N/A</v>
      </c>
      <c r="F70" s="228" t="e">
        <f>ESTADO_DE_RESULTADOS!E31</f>
        <v>#N/A</v>
      </c>
      <c r="G70" s="228" t="e">
        <f>ESTADO_DE_RESULTADOS!F31</f>
        <v>#N/A</v>
      </c>
    </row>
    <row r="71" spans="1:7" x14ac:dyDescent="0.25">
      <c r="A71" s="227" t="s">
        <v>1102</v>
      </c>
      <c r="B71" s="228">
        <f>0</f>
        <v>0</v>
      </c>
      <c r="C71" s="228"/>
      <c r="D71" s="228"/>
      <c r="E71" s="228"/>
      <c r="F71" s="228"/>
      <c r="G71" s="229"/>
    </row>
    <row r="72" spans="1:7" x14ac:dyDescent="0.25">
      <c r="A72" s="221" t="s">
        <v>1103</v>
      </c>
      <c r="B72" s="216">
        <f t="shared" ref="B72:G72" si="19">B67+B68+B69+B70+B71</f>
        <v>0</v>
      </c>
      <c r="C72" s="216" t="e">
        <f t="shared" si="19"/>
        <v>#N/A</v>
      </c>
      <c r="D72" s="216" t="e">
        <f t="shared" si="19"/>
        <v>#N/A</v>
      </c>
      <c r="E72" s="216" t="e">
        <f t="shared" si="19"/>
        <v>#N/A</v>
      </c>
      <c r="F72" s="216" t="e">
        <f t="shared" si="19"/>
        <v>#N/A</v>
      </c>
      <c r="G72" s="216" t="e">
        <f t="shared" si="19"/>
        <v>#N/A</v>
      </c>
    </row>
    <row r="73" spans="1:7" x14ac:dyDescent="0.25">
      <c r="A73" s="230"/>
      <c r="B73" s="110"/>
      <c r="C73" s="110"/>
      <c r="D73" s="110"/>
      <c r="E73" s="110"/>
      <c r="F73" s="110"/>
      <c r="G73" s="231"/>
    </row>
    <row r="74" spans="1:7" ht="15.75" thickBot="1" x14ac:dyDescent="0.3">
      <c r="A74" s="223" t="s">
        <v>1104</v>
      </c>
      <c r="B74" s="224" t="e">
        <f t="shared" ref="B74:G74" si="20">B65+B72</f>
        <v>#N/A</v>
      </c>
      <c r="C74" s="224" t="e">
        <f t="shared" si="20"/>
        <v>#N/A</v>
      </c>
      <c r="D74" s="224" t="e">
        <f t="shared" si="20"/>
        <v>#N/A</v>
      </c>
      <c r="E74" s="224" t="e">
        <f t="shared" si="20"/>
        <v>#N/A</v>
      </c>
      <c r="F74" s="224" t="e">
        <f t="shared" si="20"/>
        <v>#N/A</v>
      </c>
      <c r="G74" s="224" t="e">
        <f t="shared" si="20"/>
        <v>#N/A</v>
      </c>
    </row>
    <row r="76" spans="1:7" x14ac:dyDescent="0.25">
      <c r="A76" s="232" t="s">
        <v>1105</v>
      </c>
      <c r="B76" s="233" t="e">
        <f t="shared" ref="B76:G76" si="21">B74-B57</f>
        <v>#N/A</v>
      </c>
      <c r="C76" s="233" t="e">
        <f t="shared" si="21"/>
        <v>#N/A</v>
      </c>
      <c r="D76" s="233" t="e">
        <f t="shared" si="21"/>
        <v>#N/A</v>
      </c>
      <c r="E76" s="233" t="e">
        <f t="shared" si="21"/>
        <v>#N/A</v>
      </c>
      <c r="F76" s="233" t="e">
        <f t="shared" si="21"/>
        <v>#N/A</v>
      </c>
      <c r="G76" s="233" t="e">
        <f t="shared" si="21"/>
        <v>#N/A</v>
      </c>
    </row>
  </sheetData>
  <mergeCells count="7">
    <mergeCell ref="A60:G60"/>
    <mergeCell ref="A66:G66"/>
    <mergeCell ref="A7:B7"/>
    <mergeCell ref="B19:G19"/>
    <mergeCell ref="A21:G21"/>
    <mergeCell ref="A29:G29"/>
    <mergeCell ref="A53:G53"/>
  </mergeCell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
  <dimension ref="A2:I36"/>
  <sheetViews>
    <sheetView showGridLines="0" zoomScaleNormal="100" workbookViewId="0"/>
  </sheetViews>
  <sheetFormatPr baseColWidth="10" defaultColWidth="11.42578125" defaultRowHeight="15" x14ac:dyDescent="0.25"/>
  <cols>
    <col min="1" max="1" width="33.28515625" style="99" bestFit="1" customWidth="1"/>
    <col min="2" max="2" width="16.28515625" style="99" customWidth="1"/>
    <col min="3" max="3" width="18.5703125" style="99" customWidth="1"/>
    <col min="4" max="4" width="16.85546875" style="99" customWidth="1"/>
    <col min="5" max="5" width="15.42578125" style="99" customWidth="1"/>
    <col min="6" max="6" width="15.7109375" style="99" customWidth="1"/>
    <col min="7" max="7" width="11.42578125" style="99"/>
    <col min="8" max="8" width="32.28515625" style="99" bestFit="1" customWidth="1"/>
    <col min="9" max="16384" width="11.42578125" style="99"/>
  </cols>
  <sheetData>
    <row r="2" spans="1:9" ht="15.75" thickBot="1" x14ac:dyDescent="0.3"/>
    <row r="3" spans="1:9" ht="37.5" x14ac:dyDescent="0.25">
      <c r="A3" s="242" t="s">
        <v>1106</v>
      </c>
      <c r="B3" s="248" t="str">
        <f>BASES!D11</f>
        <v>AÑO 1</v>
      </c>
      <c r="C3" s="248" t="str">
        <f>BASES!E11</f>
        <v>AÑO 2</v>
      </c>
      <c r="D3" s="248" t="str">
        <f>BASES!F11</f>
        <v>AÑO 3</v>
      </c>
      <c r="E3" s="248" t="str">
        <f>BASES!G11</f>
        <v>AÑO 4</v>
      </c>
      <c r="F3" s="248" t="str">
        <f>BASES!H11</f>
        <v>AÑO 5</v>
      </c>
      <c r="G3" s="183"/>
    </row>
    <row r="4" spans="1:9" x14ac:dyDescent="0.25">
      <c r="A4" s="235" t="s">
        <v>1107</v>
      </c>
      <c r="B4" s="365" t="e">
        <f>'CTOS_VS_ING_OPER-INV_INFRAEST'!G11</f>
        <v>#N/A</v>
      </c>
      <c r="C4" s="365" t="e">
        <f>'CTOS_VS_ING_OPER-INV_INFRAEST'!I11</f>
        <v>#N/A</v>
      </c>
      <c r="D4" s="365" t="e">
        <f>'CTOS_VS_ING_OPER-INV_INFRAEST'!K11</f>
        <v>#N/A</v>
      </c>
      <c r="E4" s="365" t="e">
        <f>'CTOS_VS_ING_OPER-INV_INFRAEST'!M11</f>
        <v>#N/A</v>
      </c>
      <c r="F4" s="365" t="e">
        <f>'CTOS_VS_ING_OPER-INV_INFRAEST'!O11</f>
        <v>#N/A</v>
      </c>
    </row>
    <row r="5" spans="1:9" x14ac:dyDescent="0.25">
      <c r="A5" s="235" t="s">
        <v>1108</v>
      </c>
      <c r="B5" s="236" t="e">
        <f>B4*$I$12</f>
        <v>#N/A</v>
      </c>
      <c r="C5" s="236" t="e">
        <f>C4*$I$12</f>
        <v>#N/A</v>
      </c>
      <c r="D5" s="236" t="e">
        <f>D4*$I$12</f>
        <v>#N/A</v>
      </c>
      <c r="E5" s="236" t="e">
        <f>E4*$I$12</f>
        <v>#N/A</v>
      </c>
      <c r="F5" s="236" t="e">
        <f>F4*$I$12</f>
        <v>#N/A</v>
      </c>
    </row>
    <row r="6" spans="1:9" x14ac:dyDescent="0.25">
      <c r="A6" s="235" t="s">
        <v>1109</v>
      </c>
      <c r="B6" s="365" t="e">
        <f>COSTOS_DE_PRODUCCION!D178</f>
        <v>#N/A</v>
      </c>
      <c r="C6" s="365" t="e">
        <f>COSTOS_DE_PRODUCCION!F178</f>
        <v>#N/A</v>
      </c>
      <c r="D6" s="365" t="e">
        <f>COSTOS_DE_PRODUCCION!G178</f>
        <v>#N/A</v>
      </c>
      <c r="E6" s="365" t="e">
        <f>COSTOS_DE_PRODUCCION!H178</f>
        <v>#N/A</v>
      </c>
      <c r="F6" s="365" t="e">
        <f>COSTOS_DE_PRODUCCION!I178</f>
        <v>#N/A</v>
      </c>
    </row>
    <row r="7" spans="1:9" x14ac:dyDescent="0.25">
      <c r="A7" s="235" t="s">
        <v>1110</v>
      </c>
      <c r="B7" s="365">
        <f>'CTOS_VS_ING_OPER-INV_INFRAEST'!G408</f>
        <v>0</v>
      </c>
      <c r="C7" s="365">
        <f>'CTOS_VS_ING_OPER-INV_INFRAEST'!H408</f>
        <v>0</v>
      </c>
      <c r="D7" s="365">
        <f>'CTOS_VS_ING_OPER-INV_INFRAEST'!I408</f>
        <v>0</v>
      </c>
      <c r="E7" s="365">
        <f>'CTOS_VS_ING_OPER-INV_INFRAEST'!J408</f>
        <v>0</v>
      </c>
      <c r="F7" s="365">
        <f>'CTOS_VS_ING_OPER-INV_INFRAEST'!K408</f>
        <v>0</v>
      </c>
      <c r="G7" s="215"/>
    </row>
    <row r="8" spans="1:9" x14ac:dyDescent="0.25">
      <c r="A8" s="235" t="s">
        <v>1111</v>
      </c>
      <c r="B8" s="365">
        <f>'CTOS_VS_ING_OPER-INV_INFRAEST'!G409</f>
        <v>0</v>
      </c>
      <c r="C8" s="365">
        <f>'CTOS_VS_ING_OPER-INV_INFRAEST'!H409</f>
        <v>0</v>
      </c>
      <c r="D8" s="365">
        <f>'CTOS_VS_ING_OPER-INV_INFRAEST'!I409</f>
        <v>0</v>
      </c>
      <c r="E8" s="365">
        <f>'CTOS_VS_ING_OPER-INV_INFRAEST'!J409</f>
        <v>0</v>
      </c>
      <c r="F8" s="365">
        <f>'CTOS_VS_ING_OPER-INV_INFRAEST'!K409</f>
        <v>0</v>
      </c>
      <c r="G8" s="215"/>
    </row>
    <row r="9" spans="1:9" x14ac:dyDescent="0.25">
      <c r="A9" s="243" t="s">
        <v>1112</v>
      </c>
      <c r="B9" s="368" t="e">
        <f>B4-B5-B6-B7-B8</f>
        <v>#N/A</v>
      </c>
      <c r="C9" s="368" t="e">
        <f>C4-C5-C6-C7-C8</f>
        <v>#N/A</v>
      </c>
      <c r="D9" s="368" t="e">
        <f>D4-D5-D6-D7-D8</f>
        <v>#N/A</v>
      </c>
      <c r="E9" s="368" t="e">
        <f>E4-E5-E6-E7-E8</f>
        <v>#N/A</v>
      </c>
      <c r="F9" s="368" t="e">
        <f>F4-F5-F6-F7-F8</f>
        <v>#N/A</v>
      </c>
      <c r="H9"/>
      <c r="I9"/>
    </row>
    <row r="10" spans="1:9" x14ac:dyDescent="0.25">
      <c r="A10" s="235" t="s">
        <v>1113</v>
      </c>
      <c r="B10" s="365">
        <f>CUADRO_DE_COSTOS_Y_GASTOS_FIJOS!C6+CUADRO_DE_COSTOS_Y_GASTOS_FIJOS!C8</f>
        <v>0</v>
      </c>
      <c r="C10" s="365">
        <f>CUADRO_DE_COSTOS_Y_GASTOS_FIJOS!D6+CUADRO_DE_COSTOS_Y_GASTOS_FIJOS!D8</f>
        <v>0</v>
      </c>
      <c r="D10" s="365">
        <f>CUADRO_DE_COSTOS_Y_GASTOS_FIJOS!E6+CUADRO_DE_COSTOS_Y_GASTOS_FIJOS!E8</f>
        <v>0</v>
      </c>
      <c r="E10" s="365">
        <f>CUADRO_DE_COSTOS_Y_GASTOS_FIJOS!F6+CUADRO_DE_COSTOS_Y_GASTOS_FIJOS!F8</f>
        <v>0</v>
      </c>
      <c r="F10" s="365">
        <f>CUADRO_DE_COSTOS_Y_GASTOS_FIJOS!G6+CUADRO_DE_COSTOS_Y_GASTOS_FIJOS!G8</f>
        <v>0</v>
      </c>
      <c r="H10" s="246" t="s">
        <v>1114</v>
      </c>
      <c r="I10" s="245">
        <v>0</v>
      </c>
    </row>
    <row r="11" spans="1:9" x14ac:dyDescent="0.25">
      <c r="A11" s="235" t="s">
        <v>1115</v>
      </c>
      <c r="B11" s="365">
        <f>CUADRO_DE_COSTOS_Y_GASTOS_FIJOS!C5+CUADRO_DE_COSTOS_Y_GASTOS_FIJOS!C9</f>
        <v>0</v>
      </c>
      <c r="C11" s="365">
        <f>CUADRO_DE_COSTOS_Y_GASTOS_FIJOS!D5+CUADRO_DE_COSTOS_Y_GASTOS_FIJOS!D9</f>
        <v>0</v>
      </c>
      <c r="D11" s="365">
        <f>CUADRO_DE_COSTOS_Y_GASTOS_FIJOS!E5+CUADRO_DE_COSTOS_Y_GASTOS_FIJOS!E9</f>
        <v>0</v>
      </c>
      <c r="E11" s="365">
        <f>CUADRO_DE_COSTOS_Y_GASTOS_FIJOS!F5+CUADRO_DE_COSTOS_Y_GASTOS_FIJOS!F9</f>
        <v>0</v>
      </c>
      <c r="F11" s="365">
        <f>CUADRO_DE_COSTOS_Y_GASTOS_FIJOS!G5+CUADRO_DE_COSTOS_Y_GASTOS_FIJOS!G9</f>
        <v>0</v>
      </c>
      <c r="H11" s="246" t="s">
        <v>1116</v>
      </c>
      <c r="I11" s="245">
        <v>0</v>
      </c>
    </row>
    <row r="12" spans="1:9" x14ac:dyDescent="0.25">
      <c r="A12" s="235" t="s">
        <v>1117</v>
      </c>
      <c r="B12" s="365">
        <f>CUADRO_DE_COSTOS_Y_GASTOS_FIJOS!C7</f>
        <v>0</v>
      </c>
      <c r="C12" s="365">
        <f>CUADRO_DE_COSTOS_Y_GASTOS_FIJOS!D7</f>
        <v>0</v>
      </c>
      <c r="D12" s="365">
        <f>CUADRO_DE_COSTOS_Y_GASTOS_FIJOS!E7</f>
        <v>0</v>
      </c>
      <c r="E12" s="365">
        <f>CUADRO_DE_COSTOS_Y_GASTOS_FIJOS!F7</f>
        <v>0</v>
      </c>
      <c r="F12" s="365">
        <f>CUADRO_DE_COSTOS_Y_GASTOS_FIJOS!G7</f>
        <v>0</v>
      </c>
      <c r="H12" s="246" t="s">
        <v>1118</v>
      </c>
      <c r="I12" s="245">
        <v>0</v>
      </c>
    </row>
    <row r="13" spans="1:9" x14ac:dyDescent="0.25">
      <c r="A13" s="235" t="s">
        <v>1119</v>
      </c>
      <c r="B13" s="365" t="e">
        <f>B4*BASES!$H$20</f>
        <v>#N/A</v>
      </c>
      <c r="C13" s="365" t="e">
        <f>C4*BASES!$H$20</f>
        <v>#N/A</v>
      </c>
      <c r="D13" s="365" t="e">
        <f>D4*BASES!$H$20</f>
        <v>#N/A</v>
      </c>
      <c r="E13" s="365" t="e">
        <f>E4*BASES!$H$20</f>
        <v>#N/A</v>
      </c>
      <c r="F13" s="365" t="e">
        <f>F4*BASES!$H$20</f>
        <v>#N/A</v>
      </c>
      <c r="H13" s="246" t="s">
        <v>1120</v>
      </c>
      <c r="I13" s="245">
        <v>0</v>
      </c>
    </row>
    <row r="14" spans="1:9" ht="13.9" customHeight="1" thickBot="1" x14ac:dyDescent="0.3">
      <c r="A14" s="235" t="s">
        <v>1121</v>
      </c>
      <c r="B14" s="365" t="e">
        <f>B4*$I$13</f>
        <v>#N/A</v>
      </c>
      <c r="C14" s="365" t="e">
        <f>C4*$I$13</f>
        <v>#N/A</v>
      </c>
      <c r="D14" s="365" t="e">
        <f>D4*$I$13</f>
        <v>#N/A</v>
      </c>
      <c r="E14" s="365" t="e">
        <f>E4*$I$13</f>
        <v>#N/A</v>
      </c>
      <c r="F14" s="365" t="e">
        <f>F4*$I$13</f>
        <v>#N/A</v>
      </c>
      <c r="H14" s="223" t="s">
        <v>1122</v>
      </c>
      <c r="I14" s="369">
        <v>0</v>
      </c>
    </row>
    <row r="15" spans="1:9" ht="19.149999999999999" customHeight="1" x14ac:dyDescent="0.25">
      <c r="A15" s="458" t="s">
        <v>1123</v>
      </c>
      <c r="B15" s="459"/>
      <c r="C15" s="459"/>
      <c r="D15" s="459"/>
      <c r="E15" s="459"/>
      <c r="F15" s="460"/>
    </row>
    <row r="16" spans="1:9" x14ac:dyDescent="0.25">
      <c r="A16" s="243" t="s">
        <v>1124</v>
      </c>
      <c r="B16" s="368" t="e">
        <f>B9-SUM(B10:B15)</f>
        <v>#N/A</v>
      </c>
      <c r="C16" s="368" t="e">
        <f>C9-SUM(C10:C15)</f>
        <v>#N/A</v>
      </c>
      <c r="D16" s="368" t="e">
        <f>D9-SUM(D10:D15)</f>
        <v>#N/A</v>
      </c>
      <c r="E16" s="368" t="e">
        <f>E9-SUM(E10:E15)</f>
        <v>#N/A</v>
      </c>
      <c r="F16" s="368" t="e">
        <f>F9-SUM(F10:F15)</f>
        <v>#N/A</v>
      </c>
      <c r="H16" s="239"/>
    </row>
    <row r="17" spans="1:6" x14ac:dyDescent="0.25">
      <c r="A17" s="237" t="s">
        <v>1125</v>
      </c>
      <c r="B17" s="236"/>
      <c r="C17" s="236"/>
      <c r="D17" s="236"/>
      <c r="E17" s="236"/>
      <c r="F17" s="238"/>
    </row>
    <row r="18" spans="1:6" x14ac:dyDescent="0.25">
      <c r="A18" s="235" t="s">
        <v>1126</v>
      </c>
      <c r="B18" s="365" t="e">
        <f>NECESIDADES_DE_FINANCIACION!F28</f>
        <v>#N/A</v>
      </c>
      <c r="C18" s="365" t="e">
        <f>NECESIDADES_DE_FINANCIACION!F29</f>
        <v>#N/A</v>
      </c>
      <c r="D18" s="365" t="e">
        <f>NECESIDADES_DE_FINANCIACION!F30</f>
        <v>#N/A</v>
      </c>
      <c r="E18" s="365" t="e">
        <f>NECESIDADES_DE_FINANCIACION!F31</f>
        <v>#N/A</v>
      </c>
      <c r="F18" s="366" t="e">
        <f>NECESIDADES_DE_FINANCIACION!F32</f>
        <v>#N/A</v>
      </c>
    </row>
    <row r="19" spans="1:6" x14ac:dyDescent="0.25">
      <c r="A19" s="235" t="s">
        <v>1127</v>
      </c>
      <c r="B19" s="365" t="e">
        <f>NECESIDADES_DE_FINANCIACION!E28</f>
        <v>#N/A</v>
      </c>
      <c r="C19" s="365" t="e">
        <f>B19</f>
        <v>#N/A</v>
      </c>
      <c r="D19" s="365" t="e">
        <f>C19</f>
        <v>#N/A</v>
      </c>
      <c r="E19" s="365" t="e">
        <f>D19</f>
        <v>#N/A</v>
      </c>
      <c r="F19" s="365" t="e">
        <f>E19</f>
        <v>#N/A</v>
      </c>
    </row>
    <row r="20" spans="1:6" x14ac:dyDescent="0.25">
      <c r="A20" s="235" t="s">
        <v>1128</v>
      </c>
      <c r="B20" s="365" t="e">
        <f>B17+B18+B19</f>
        <v>#N/A</v>
      </c>
      <c r="C20" s="365" t="e">
        <f>C17+C18+C19</f>
        <v>#N/A</v>
      </c>
      <c r="D20" s="365" t="e">
        <f>D17+D18+D19</f>
        <v>#N/A</v>
      </c>
      <c r="E20" s="365" t="e">
        <f>E17+E18+E19</f>
        <v>#N/A</v>
      </c>
      <c r="F20" s="365" t="e">
        <f>F17+F18+F19</f>
        <v>#N/A</v>
      </c>
    </row>
    <row r="21" spans="1:6" x14ac:dyDescent="0.25">
      <c r="A21" s="486" t="s">
        <v>1129</v>
      </c>
      <c r="B21" s="487">
        <v>0</v>
      </c>
      <c r="C21" s="487">
        <v>0</v>
      </c>
      <c r="D21" s="487">
        <v>0</v>
      </c>
      <c r="E21" s="487">
        <v>0</v>
      </c>
      <c r="F21" s="488">
        <v>0</v>
      </c>
    </row>
    <row r="22" spans="1:6" x14ac:dyDescent="0.25">
      <c r="A22" s="486" t="s">
        <v>1130</v>
      </c>
      <c r="B22" s="487">
        <v>0</v>
      </c>
      <c r="C22" s="487">
        <v>0</v>
      </c>
      <c r="D22" s="487">
        <v>0</v>
      </c>
      <c r="E22" s="487">
        <v>0</v>
      </c>
      <c r="F22" s="488">
        <v>0</v>
      </c>
    </row>
    <row r="23" spans="1:6" x14ac:dyDescent="0.25">
      <c r="A23" s="486" t="s">
        <v>1131</v>
      </c>
      <c r="B23" s="487">
        <v>0</v>
      </c>
      <c r="C23" s="487">
        <v>0</v>
      </c>
      <c r="D23" s="487">
        <v>0</v>
      </c>
      <c r="E23" s="487">
        <v>0</v>
      </c>
      <c r="F23" s="488">
        <v>0</v>
      </c>
    </row>
    <row r="24" spans="1:6" x14ac:dyDescent="0.25">
      <c r="A24" s="486" t="s">
        <v>1132</v>
      </c>
      <c r="B24" s="487">
        <v>0</v>
      </c>
      <c r="C24" s="487">
        <v>0</v>
      </c>
      <c r="D24" s="487">
        <v>0</v>
      </c>
      <c r="E24" s="487">
        <v>0</v>
      </c>
      <c r="F24" s="488">
        <v>0</v>
      </c>
    </row>
    <row r="25" spans="1:6" x14ac:dyDescent="0.25">
      <c r="A25" s="486" t="s">
        <v>1133</v>
      </c>
      <c r="B25" s="487">
        <v>0</v>
      </c>
      <c r="C25" s="487">
        <v>0</v>
      </c>
      <c r="D25" s="487">
        <v>0</v>
      </c>
      <c r="E25" s="487">
        <v>0</v>
      </c>
      <c r="F25" s="488">
        <v>0</v>
      </c>
    </row>
    <row r="26" spans="1:6" x14ac:dyDescent="0.25">
      <c r="A26" s="489" t="s">
        <v>1134</v>
      </c>
      <c r="B26" s="487">
        <f>B21+B22+B23+B24+B25</f>
        <v>0</v>
      </c>
      <c r="C26" s="487">
        <f>C21+C22+C23+C24+C25</f>
        <v>0</v>
      </c>
      <c r="D26" s="487">
        <f>D21+D22+D23+D24+D25</f>
        <v>0</v>
      </c>
      <c r="E26" s="487">
        <f>E21+E22+E23+E24+E25</f>
        <v>0</v>
      </c>
      <c r="F26" s="487">
        <f>F21+F22+F23+F24+F25</f>
        <v>0</v>
      </c>
    </row>
    <row r="27" spans="1:6" x14ac:dyDescent="0.25">
      <c r="A27" s="243" t="s">
        <v>1135</v>
      </c>
      <c r="B27" s="368" t="e">
        <f>B16+B20+B26</f>
        <v>#N/A</v>
      </c>
      <c r="C27" s="368" t="e">
        <f>C16+C20+C26</f>
        <v>#N/A</v>
      </c>
      <c r="D27" s="368" t="e">
        <f>D16+D20+D26</f>
        <v>#N/A</v>
      </c>
      <c r="E27" s="368" t="e">
        <f>E16+E20+E26</f>
        <v>#N/A</v>
      </c>
      <c r="F27" s="368" t="e">
        <f>F16+F20+F26</f>
        <v>#N/A</v>
      </c>
    </row>
    <row r="28" spans="1:6" x14ac:dyDescent="0.25">
      <c r="A28" s="235" t="s">
        <v>1136</v>
      </c>
      <c r="B28" s="365" t="e">
        <f>IF(B27&lt;0,0,B27*BASES!D17)</f>
        <v>#N/A</v>
      </c>
      <c r="C28" s="365" t="e">
        <f>IF(C27&lt;0,0,C27*BASES!E17)</f>
        <v>#N/A</v>
      </c>
      <c r="D28" s="365" t="e">
        <f>IF(D27&lt;0,0,D27*BASES!F17)</f>
        <v>#N/A</v>
      </c>
      <c r="E28" s="365" t="e">
        <f>IF(E27&lt;0,0,E27*BASES!G17)</f>
        <v>#N/A</v>
      </c>
      <c r="F28" s="365" t="e">
        <f>IF(F27&lt;0,0,F27*BASES!H17)</f>
        <v>#N/A</v>
      </c>
    </row>
    <row r="29" spans="1:6" x14ac:dyDescent="0.25">
      <c r="A29" s="235" t="s">
        <v>1137</v>
      </c>
      <c r="B29" s="365" t="e">
        <f>IF(B27*$I$10=0,0,B27*$I$10)</f>
        <v>#N/A</v>
      </c>
      <c r="C29" s="365" t="e">
        <f>IF(C27*$I$10=0,0,C27*$I$10)</f>
        <v>#N/A</v>
      </c>
      <c r="D29" s="365" t="e">
        <f>IF(D27*$I$10=0,0,D27*$I$10)</f>
        <v>#N/A</v>
      </c>
      <c r="E29" s="365" t="e">
        <f>IF(E27*$I$10=0,0,E27*$I$10)</f>
        <v>#N/A</v>
      </c>
      <c r="F29" s="365" t="e">
        <f>IF(F27*$I$10=0,0,F27*$I$10)</f>
        <v>#N/A</v>
      </c>
    </row>
    <row r="30" spans="1:6" x14ac:dyDescent="0.25">
      <c r="A30" s="235" t="s">
        <v>1138</v>
      </c>
      <c r="B30" s="365" t="e">
        <f>IF(B27*$I$11&lt;0,0,B27*$I$11)</f>
        <v>#N/A</v>
      </c>
      <c r="C30" s="365" t="e">
        <f>IF(C27*$I$11&lt;0,0,C27*$I$11)</f>
        <v>#N/A</v>
      </c>
      <c r="D30" s="365" t="e">
        <f>IF(D27*$I$11&lt;0,0,D27*$I$11)</f>
        <v>#N/A</v>
      </c>
      <c r="E30" s="365" t="e">
        <f>IF(E27*$I$11&lt;0,0,E27*$I$11)</f>
        <v>#N/A</v>
      </c>
      <c r="F30" s="365" t="e">
        <f>IF(F27*$I$11&lt;0,0,F27*$I$11)</f>
        <v>#N/A</v>
      </c>
    </row>
    <row r="31" spans="1:6" ht="15.75" thickBot="1" x14ac:dyDescent="0.3">
      <c r="A31" s="244" t="s">
        <v>1139</v>
      </c>
      <c r="B31" s="367" t="e">
        <f>B27-B28-B29-B30</f>
        <v>#N/A</v>
      </c>
      <c r="C31" s="367" t="e">
        <f>C27-C28-C29-C30</f>
        <v>#N/A</v>
      </c>
      <c r="D31" s="367" t="e">
        <f>D27-D28-D29-D30</f>
        <v>#N/A</v>
      </c>
      <c r="E31" s="367" t="e">
        <f>E27-E28-E29-E30</f>
        <v>#N/A</v>
      </c>
      <c r="F31" s="367" t="e">
        <f>F27-F28-F29-F30</f>
        <v>#N/A</v>
      </c>
    </row>
    <row r="35" spans="1:6" ht="15" customHeight="1" x14ac:dyDescent="0.25">
      <c r="A35" s="240" t="s">
        <v>1100</v>
      </c>
      <c r="B35" s="241">
        <v>0</v>
      </c>
      <c r="C35" s="241" t="e">
        <f>B31-B36</f>
        <v>#N/A</v>
      </c>
      <c r="D35" s="241" t="e">
        <f>C31-C36</f>
        <v>#N/A</v>
      </c>
      <c r="E35" s="241" t="e">
        <f>D31-D36</f>
        <v>#N/A</v>
      </c>
      <c r="F35" s="241" t="e">
        <f>E31-E36</f>
        <v>#N/A</v>
      </c>
    </row>
    <row r="36" spans="1:6" s="457" customFormat="1" x14ac:dyDescent="0.25">
      <c r="A36" s="455" t="s">
        <v>1122</v>
      </c>
      <c r="B36" s="456" t="e">
        <f>IF(B31*$I$14&lt;0,0,B31*$I$14)</f>
        <v>#N/A</v>
      </c>
      <c r="C36" s="456" t="e">
        <f>IF(C31*$I$14&lt;0,0,C31*$I$14)</f>
        <v>#N/A</v>
      </c>
      <c r="D36" s="456" t="e">
        <f>IF(D31*$I$14&lt;0,0,D31*$I$14)</f>
        <v>#N/A</v>
      </c>
      <c r="E36" s="456" t="e">
        <f>IF(E31*$I$14&lt;0,0,E31*$I$14)</f>
        <v>#N/A</v>
      </c>
      <c r="F36" s="456" t="e">
        <f>IF(F31*$I$14&lt;0,0,F31*$I$14)</f>
        <v>#N/A</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3"/>
  <dimension ref="A5:N44"/>
  <sheetViews>
    <sheetView showGridLines="0" zoomScaleNormal="100" workbookViewId="0"/>
  </sheetViews>
  <sheetFormatPr baseColWidth="10" defaultColWidth="11.42578125" defaultRowHeight="15" x14ac:dyDescent="0.25"/>
  <cols>
    <col min="1" max="1" width="68" style="99" customWidth="1"/>
    <col min="2" max="2" width="21.42578125" style="99" customWidth="1"/>
    <col min="3" max="3" width="18.7109375" style="99" customWidth="1"/>
    <col min="4" max="4" width="19.42578125" style="99" customWidth="1"/>
    <col min="5" max="5" width="19.5703125" style="99" customWidth="1"/>
    <col min="6" max="6" width="21.85546875" style="99" customWidth="1"/>
    <col min="7" max="16384" width="11.42578125" style="99"/>
  </cols>
  <sheetData>
    <row r="5" spans="1:6" ht="15.75" thickBot="1" x14ac:dyDescent="0.3"/>
    <row r="6" spans="1:6" ht="18.75" x14ac:dyDescent="0.25">
      <c r="A6" s="256" t="s">
        <v>1140</v>
      </c>
      <c r="B6" s="257" t="str">
        <f>BASES!D11</f>
        <v>AÑO 1</v>
      </c>
      <c r="C6" s="257" t="str">
        <f>BASES!E11</f>
        <v>AÑO 2</v>
      </c>
      <c r="D6" s="257" t="str">
        <f>BASES!F11</f>
        <v>AÑO 3</v>
      </c>
      <c r="E6" s="257" t="str">
        <f>BASES!G11</f>
        <v>AÑO 4</v>
      </c>
      <c r="F6" s="257" t="str">
        <f>BASES!H11</f>
        <v>AÑO 5</v>
      </c>
    </row>
    <row r="7" spans="1:6" ht="18.75" x14ac:dyDescent="0.25">
      <c r="A7" s="710" t="s">
        <v>1141</v>
      </c>
      <c r="B7" s="711"/>
      <c r="C7" s="711"/>
      <c r="D7" s="711"/>
      <c r="E7" s="711"/>
      <c r="F7" s="712"/>
    </row>
    <row r="8" spans="1:6" x14ac:dyDescent="0.25">
      <c r="A8" s="249" t="s">
        <v>1142</v>
      </c>
      <c r="B8" s="348" t="e">
        <f>ESTADO_DE_RESULTADOS!B16</f>
        <v>#N/A</v>
      </c>
      <c r="C8" s="348" t="e">
        <f>ESTADO_DE_RESULTADOS!C16</f>
        <v>#N/A</v>
      </c>
      <c r="D8" s="348" t="e">
        <f>ESTADO_DE_RESULTADOS!D16</f>
        <v>#N/A</v>
      </c>
      <c r="E8" s="348" t="e">
        <f>ESTADO_DE_RESULTADOS!E16</f>
        <v>#N/A</v>
      </c>
      <c r="F8" s="348" t="e">
        <f>ESTADO_DE_RESULTADOS!F16</f>
        <v>#N/A</v>
      </c>
    </row>
    <row r="9" spans="1:6" x14ac:dyDescent="0.25">
      <c r="A9" s="249" t="s">
        <v>1143</v>
      </c>
      <c r="B9" s="348">
        <f>'CTOS_VS_ING_OPER-INV_INFRAEST'!G408</f>
        <v>0</v>
      </c>
      <c r="C9" s="348">
        <f>'CTOS_VS_ING_OPER-INV_INFRAEST'!H408</f>
        <v>0</v>
      </c>
      <c r="D9" s="348">
        <f>'CTOS_VS_ING_OPER-INV_INFRAEST'!I408</f>
        <v>0</v>
      </c>
      <c r="E9" s="348">
        <f>'CTOS_VS_ING_OPER-INV_INFRAEST'!J408</f>
        <v>0</v>
      </c>
      <c r="F9" s="348">
        <f>'CTOS_VS_ING_OPER-INV_INFRAEST'!K408</f>
        <v>0</v>
      </c>
    </row>
    <row r="10" spans="1:6" x14ac:dyDescent="0.25">
      <c r="A10" s="249" t="s">
        <v>1144</v>
      </c>
      <c r="B10" s="348">
        <f>'CTOS_VS_ING_OPER-INV_INFRAEST'!G409</f>
        <v>0</v>
      </c>
      <c r="C10" s="348">
        <f>'CTOS_VS_ING_OPER-INV_INFRAEST'!H409</f>
        <v>0</v>
      </c>
      <c r="D10" s="348">
        <f>'CTOS_VS_ING_OPER-INV_INFRAEST'!I409</f>
        <v>0</v>
      </c>
      <c r="E10" s="348">
        <f>'CTOS_VS_ING_OPER-INV_INFRAEST'!J409</f>
        <v>0</v>
      </c>
      <c r="F10" s="348">
        <f>'CTOS_VS_ING_OPER-INV_INFRAEST'!K409</f>
        <v>0</v>
      </c>
    </row>
    <row r="11" spans="1:6" x14ac:dyDescent="0.25">
      <c r="A11" s="249" t="s">
        <v>1121</v>
      </c>
      <c r="B11" s="348" t="e">
        <f>ESTADO_DE_RESULTADOS!B14</f>
        <v>#N/A</v>
      </c>
      <c r="C11" s="348" t="e">
        <f>ESTADO_DE_RESULTADOS!C14</f>
        <v>#N/A</v>
      </c>
      <c r="D11" s="348" t="e">
        <f>ESTADO_DE_RESULTADOS!D14</f>
        <v>#N/A</v>
      </c>
      <c r="E11" s="348" t="e">
        <f>ESTADO_DE_RESULTADOS!E14</f>
        <v>#N/A</v>
      </c>
      <c r="F11" s="348" t="e">
        <f>ESTADO_DE_RESULTADOS!F14</f>
        <v>#N/A</v>
      </c>
    </row>
    <row r="12" spans="1:6" x14ac:dyDescent="0.25">
      <c r="A12" s="249" t="s">
        <v>1145</v>
      </c>
      <c r="B12" s="348"/>
      <c r="C12" s="348" t="e">
        <f>ESTADO_DE_RESULTADOS!B28*-1</f>
        <v>#N/A</v>
      </c>
      <c r="D12" s="348" t="e">
        <f>ESTADO_DE_RESULTADOS!C28*-1</f>
        <v>#N/A</v>
      </c>
      <c r="E12" s="348" t="e">
        <f>ESTADO_DE_RESULTADOS!D28*-1</f>
        <v>#N/A</v>
      </c>
      <c r="F12" s="348" t="e">
        <f>ESTADO_DE_RESULTADOS!E28*-1</f>
        <v>#N/A</v>
      </c>
    </row>
    <row r="13" spans="1:6" ht="15.75" thickBot="1" x14ac:dyDescent="0.3">
      <c r="A13" s="250" t="s">
        <v>1146</v>
      </c>
      <c r="B13" s="349" t="e">
        <f>SUM(B8:B12)</f>
        <v>#N/A</v>
      </c>
      <c r="C13" s="349" t="e">
        <f>SUM(C8:C12)</f>
        <v>#N/A</v>
      </c>
      <c r="D13" s="349" t="e">
        <f>SUM(D8:D12)</f>
        <v>#N/A</v>
      </c>
      <c r="E13" s="349" t="e">
        <f>SUM(E8:E12)</f>
        <v>#N/A</v>
      </c>
      <c r="F13" s="349" t="e">
        <f>SUM(F8:F12)</f>
        <v>#N/A</v>
      </c>
    </row>
    <row r="14" spans="1:6" ht="15.75" thickBot="1" x14ac:dyDescent="0.3"/>
    <row r="15" spans="1:6" ht="18.75" x14ac:dyDescent="0.25">
      <c r="A15" s="713" t="s">
        <v>1147</v>
      </c>
      <c r="B15" s="714"/>
      <c r="C15" s="714"/>
      <c r="D15" s="714"/>
      <c r="E15" s="714"/>
      <c r="F15" s="715"/>
    </row>
    <row r="16" spans="1:6" ht="18.75" x14ac:dyDescent="0.25">
      <c r="A16" s="254" t="s">
        <v>1148</v>
      </c>
      <c r="B16" s="255" t="str">
        <f>B6</f>
        <v>AÑO 1</v>
      </c>
      <c r="C16" s="255" t="str">
        <f>C6</f>
        <v>AÑO 2</v>
      </c>
      <c r="D16" s="255" t="str">
        <f>D6</f>
        <v>AÑO 3</v>
      </c>
      <c r="E16" s="255" t="str">
        <f>E6</f>
        <v>AÑO 4</v>
      </c>
      <c r="F16" s="255" t="str">
        <f>F6</f>
        <v>AÑO 5</v>
      </c>
    </row>
    <row r="17" spans="1:14" x14ac:dyDescent="0.25">
      <c r="A17" s="251" t="s">
        <v>1149</v>
      </c>
      <c r="B17" s="350" t="e">
        <f>BALANCE_GENERAL!D10</f>
        <v>#N/A</v>
      </c>
      <c r="C17" s="350" t="e">
        <f>BALANCE_GENERAL!E10</f>
        <v>#N/A</v>
      </c>
      <c r="D17" s="350" t="e">
        <f>BALANCE_GENERAL!F10</f>
        <v>#N/A</v>
      </c>
      <c r="E17" s="350" t="e">
        <f>BALANCE_GENERAL!G10</f>
        <v>#N/A</v>
      </c>
      <c r="F17" s="350" t="e">
        <f>BALANCE_GENERAL!H10</f>
        <v>#N/A</v>
      </c>
    </row>
    <row r="18" spans="1:14" x14ac:dyDescent="0.25">
      <c r="A18" s="251" t="s">
        <v>1150</v>
      </c>
      <c r="B18" s="350" t="e">
        <f>BALANCE_GENERAL!D13</f>
        <v>#N/A</v>
      </c>
      <c r="C18" s="350" t="e">
        <f>BALANCE_GENERAL!E13</f>
        <v>#N/A</v>
      </c>
      <c r="D18" s="350" t="e">
        <f>BALANCE_GENERAL!F13</f>
        <v>#N/A</v>
      </c>
      <c r="E18" s="350" t="e">
        <f>BALANCE_GENERAL!G13</f>
        <v>#N/A</v>
      </c>
      <c r="F18" s="350" t="e">
        <f>BALANCE_GENERAL!H13</f>
        <v>#N/A</v>
      </c>
    </row>
    <row r="19" spans="1:14" x14ac:dyDescent="0.25">
      <c r="A19" s="251" t="s">
        <v>1151</v>
      </c>
      <c r="B19" s="350" t="e">
        <f>BALANCE_GENERAL!D16</f>
        <v>#N/A</v>
      </c>
      <c r="C19" s="350" t="e">
        <f>BALANCE_GENERAL!E16</f>
        <v>#N/A</v>
      </c>
      <c r="D19" s="350" t="e">
        <f>BALANCE_GENERAL!F16</f>
        <v>#N/A</v>
      </c>
      <c r="E19" s="350" t="e">
        <f>BALANCE_GENERAL!G16</f>
        <v>#N/A</v>
      </c>
      <c r="F19" s="350" t="e">
        <f>BALANCE_GENERAL!H16</f>
        <v>#N/A</v>
      </c>
    </row>
    <row r="20" spans="1:14" x14ac:dyDescent="0.25">
      <c r="A20" s="370" t="s">
        <v>1152</v>
      </c>
      <c r="B20" s="371" t="e">
        <f>SUM(B17:B19)</f>
        <v>#N/A</v>
      </c>
      <c r="C20" s="371" t="e">
        <f>SUM(C17:C19)</f>
        <v>#N/A</v>
      </c>
      <c r="D20" s="371" t="e">
        <f>SUM(D17:D19)</f>
        <v>#N/A</v>
      </c>
      <c r="E20" s="371" t="e">
        <f>SUM(E17:E19)</f>
        <v>#N/A</v>
      </c>
      <c r="F20" s="371" t="e">
        <f>SUM(F17:F19)</f>
        <v>#N/A</v>
      </c>
    </row>
    <row r="21" spans="1:14" x14ac:dyDescent="0.25">
      <c r="A21" s="251" t="s">
        <v>1153</v>
      </c>
      <c r="B21" s="350">
        <f>'CTOS_VS_ING_OPER-INV_INFRAEST'!G32</f>
        <v>0</v>
      </c>
      <c r="C21" s="350">
        <f>'CTOS_VS_ING_OPER-INV_INFRAEST'!H32</f>
        <v>0</v>
      </c>
      <c r="D21" s="350">
        <f>'CTOS_VS_ING_OPER-INV_INFRAEST'!I32</f>
        <v>0</v>
      </c>
      <c r="E21" s="350">
        <f>'CTOS_VS_ING_OPER-INV_INFRAEST'!J32</f>
        <v>0</v>
      </c>
      <c r="F21" s="350">
        <f>'CTOS_VS_ING_OPER-INV_INFRAEST'!K32</f>
        <v>0</v>
      </c>
    </row>
    <row r="22" spans="1:14" x14ac:dyDescent="0.25">
      <c r="A22" s="251" t="s">
        <v>1154</v>
      </c>
      <c r="B22" s="350">
        <f>'CTOS_VS_ING_OPER-INV_INFRAEST'!K44</f>
        <v>0</v>
      </c>
      <c r="C22" s="350">
        <f>'CTOS_VS_ING_OPER-INV_INFRAEST'!N44</f>
        <v>0</v>
      </c>
      <c r="D22" s="350">
        <f>'CTOS_VS_ING_OPER-INV_INFRAEST'!Q44</f>
        <v>0</v>
      </c>
      <c r="E22" s="350">
        <f>'CTOS_VS_ING_OPER-INV_INFRAEST'!T44</f>
        <v>0</v>
      </c>
      <c r="F22" s="350">
        <f>'CTOS_VS_ING_OPER-INV_INFRAEST'!W44</f>
        <v>0</v>
      </c>
      <c r="G22" s="215"/>
    </row>
    <row r="23" spans="1:14" x14ac:dyDescent="0.25">
      <c r="A23" s="251" t="s">
        <v>1155</v>
      </c>
      <c r="B23" s="350">
        <f>'CTOS_VS_ING_OPER-INV_INFRAEST'!K87</f>
        <v>0</v>
      </c>
      <c r="C23" s="350">
        <f>'CTOS_VS_ING_OPER-INV_INFRAEST'!N87</f>
        <v>0</v>
      </c>
      <c r="D23" s="350">
        <f>'CTOS_VS_ING_OPER-INV_INFRAEST'!Q87</f>
        <v>0</v>
      </c>
      <c r="E23" s="350">
        <f>'CTOS_VS_ING_OPER-INV_INFRAEST'!T87</f>
        <v>0</v>
      </c>
      <c r="F23" s="350">
        <f>'CTOS_VS_ING_OPER-INV_INFRAEST'!W87</f>
        <v>0</v>
      </c>
      <c r="G23" s="215"/>
    </row>
    <row r="24" spans="1:14" x14ac:dyDescent="0.25">
      <c r="A24" s="251" t="s">
        <v>1156</v>
      </c>
      <c r="B24" s="350">
        <f>'CTOS_VS_ING_OPER-INV_INFRAEST'!K140</f>
        <v>0</v>
      </c>
      <c r="C24" s="350">
        <f>'CTOS_VS_ING_OPER-INV_INFRAEST'!N140</f>
        <v>0</v>
      </c>
      <c r="D24" s="350">
        <f>'CTOS_VS_ING_OPER-INV_INFRAEST'!Q140</f>
        <v>0</v>
      </c>
      <c r="E24" s="350">
        <f>'CTOS_VS_ING_OPER-INV_INFRAEST'!T140</f>
        <v>0</v>
      </c>
      <c r="F24" s="350">
        <f>'CTOS_VS_ING_OPER-INV_INFRAEST'!W140</f>
        <v>0</v>
      </c>
      <c r="G24" s="215"/>
    </row>
    <row r="25" spans="1:14" x14ac:dyDescent="0.25">
      <c r="A25" s="251" t="s">
        <v>1157</v>
      </c>
      <c r="B25" s="350">
        <f>'CTOS_VS_ING_OPER-INV_INFRAEST'!K150</f>
        <v>0</v>
      </c>
      <c r="C25" s="350">
        <f>'CTOS_VS_ING_OPER-INV_INFRAEST'!N150</f>
        <v>0</v>
      </c>
      <c r="D25" s="350">
        <f>'CTOS_VS_ING_OPER-INV_INFRAEST'!Q150</f>
        <v>0</v>
      </c>
      <c r="E25" s="350">
        <f>'CTOS_VS_ING_OPER-INV_INFRAEST'!T150</f>
        <v>0</v>
      </c>
      <c r="F25" s="350">
        <f>'CTOS_VS_ING_OPER-INV_INFRAEST'!W150</f>
        <v>0</v>
      </c>
      <c r="G25" s="215"/>
    </row>
    <row r="26" spans="1:14" x14ac:dyDescent="0.25">
      <c r="A26" s="251" t="s">
        <v>1158</v>
      </c>
      <c r="B26" s="350">
        <f>'CTOS_VS_ING_OPER-INV_INFRAEST'!K178</f>
        <v>0</v>
      </c>
      <c r="C26" s="350">
        <f>'CTOS_VS_ING_OPER-INV_INFRAEST'!N178</f>
        <v>0</v>
      </c>
      <c r="D26" s="350">
        <f>'CTOS_VS_ING_OPER-INV_INFRAEST'!Q178</f>
        <v>0</v>
      </c>
      <c r="E26" s="350">
        <f>'CTOS_VS_ING_OPER-INV_INFRAEST'!T178</f>
        <v>0</v>
      </c>
      <c r="F26" s="350">
        <f>'CTOS_VS_ING_OPER-INV_INFRAEST'!W178</f>
        <v>0</v>
      </c>
      <c r="G26" s="215"/>
    </row>
    <row r="27" spans="1:14" x14ac:dyDescent="0.25">
      <c r="A27" s="251" t="s">
        <v>1159</v>
      </c>
      <c r="B27" s="350">
        <f>'CTOS_VS_ING_OPER-INV_INFRAEST'!K208</f>
        <v>0</v>
      </c>
      <c r="C27" s="350">
        <f>'CTOS_VS_ING_OPER-INV_INFRAEST'!N208</f>
        <v>0</v>
      </c>
      <c r="D27" s="350">
        <f>'CTOS_VS_ING_OPER-INV_INFRAEST'!Q208</f>
        <v>0</v>
      </c>
      <c r="E27" s="350">
        <f>'CTOS_VS_ING_OPER-INV_INFRAEST'!T208</f>
        <v>0</v>
      </c>
      <c r="F27" s="350">
        <f>'CTOS_VS_ING_OPER-INV_INFRAEST'!W208</f>
        <v>0</v>
      </c>
      <c r="G27" s="215"/>
    </row>
    <row r="28" spans="1:14" x14ac:dyDescent="0.25">
      <c r="A28" s="251" t="s">
        <v>1160</v>
      </c>
      <c r="B28" s="350">
        <f>'CTOS_VS_ING_OPER-INV_INFRAEST'!K227</f>
        <v>0</v>
      </c>
      <c r="C28" s="350">
        <f>'CTOS_VS_ING_OPER-INV_INFRAEST'!N227</f>
        <v>0</v>
      </c>
      <c r="D28" s="350">
        <f>'CTOS_VS_ING_OPER-INV_INFRAEST'!Q227</f>
        <v>0</v>
      </c>
      <c r="E28" s="350">
        <f>'CTOS_VS_ING_OPER-INV_INFRAEST'!T227</f>
        <v>0</v>
      </c>
      <c r="F28" s="350">
        <f>'CTOS_VS_ING_OPER-INV_INFRAEST'!W227</f>
        <v>0</v>
      </c>
      <c r="G28" s="215"/>
    </row>
    <row r="29" spans="1:14" x14ac:dyDescent="0.25">
      <c r="A29" s="251" t="s">
        <v>1161</v>
      </c>
      <c r="B29" s="350">
        <f>'CTOS_VS_ING_OPER-INV_INFRAEST'!K245</f>
        <v>0</v>
      </c>
      <c r="C29" s="350">
        <f>'CTOS_VS_ING_OPER-INV_INFRAEST'!N245</f>
        <v>0</v>
      </c>
      <c r="D29" s="350">
        <f>'CTOS_VS_ING_OPER-INV_INFRAEST'!Q245</f>
        <v>0</v>
      </c>
      <c r="E29" s="350">
        <f>'CTOS_VS_ING_OPER-INV_INFRAEST'!T245</f>
        <v>0</v>
      </c>
      <c r="F29" s="350">
        <f>'CTOS_VS_ING_OPER-INV_INFRAEST'!W245</f>
        <v>0</v>
      </c>
      <c r="G29" s="215"/>
      <c r="N29"/>
    </row>
    <row r="30" spans="1:14" x14ac:dyDescent="0.25">
      <c r="A30" s="370" t="s">
        <v>1162</v>
      </c>
      <c r="B30" s="371">
        <f>SUM(B21:B29)*-1</f>
        <v>0</v>
      </c>
      <c r="C30" s="371">
        <f>SUM(C21:C29)*-1</f>
        <v>0</v>
      </c>
      <c r="D30" s="371">
        <f>SUM(D21:D29)*-1</f>
        <v>0</v>
      </c>
      <c r="E30" s="371">
        <f>SUM(E21:E29)*-1</f>
        <v>0</v>
      </c>
      <c r="F30" s="371">
        <f>SUM(F21:F29)*-1</f>
        <v>0</v>
      </c>
    </row>
    <row r="31" spans="1:14" ht="15.75" thickBot="1" x14ac:dyDescent="0.3">
      <c r="A31" s="253" t="s">
        <v>1163</v>
      </c>
      <c r="B31" s="351" t="e">
        <f>B20+B30</f>
        <v>#N/A</v>
      </c>
      <c r="C31" s="351" t="e">
        <f>C20+C30</f>
        <v>#N/A</v>
      </c>
      <c r="D31" s="351" t="e">
        <f>D20+D30</f>
        <v>#N/A</v>
      </c>
      <c r="E31" s="351" t="e">
        <f>E20+E30</f>
        <v>#N/A</v>
      </c>
      <c r="F31" s="351" t="e">
        <f>F20+F30</f>
        <v>#N/A</v>
      </c>
    </row>
    <row r="32" spans="1:14" ht="15.75" thickBot="1" x14ac:dyDescent="0.3"/>
    <row r="33" spans="1:6" ht="18.75" x14ac:dyDescent="0.25">
      <c r="A33" s="713" t="s">
        <v>1164</v>
      </c>
      <c r="B33" s="714"/>
      <c r="C33" s="714"/>
      <c r="D33" s="714"/>
      <c r="E33" s="714"/>
      <c r="F33" s="715"/>
    </row>
    <row r="34" spans="1:6" ht="18.75" x14ac:dyDescent="0.25">
      <c r="A34" s="254" t="s">
        <v>1165</v>
      </c>
      <c r="B34" s="255" t="str">
        <f>B6</f>
        <v>AÑO 1</v>
      </c>
      <c r="C34" s="255" t="str">
        <f>C6</f>
        <v>AÑO 2</v>
      </c>
      <c r="D34" s="255" t="str">
        <f>D6</f>
        <v>AÑO 3</v>
      </c>
      <c r="E34" s="255" t="str">
        <f>E6</f>
        <v>AÑO 4</v>
      </c>
      <c r="F34" s="255" t="str">
        <f>F6</f>
        <v>AÑO 5</v>
      </c>
    </row>
    <row r="35" spans="1:6" x14ac:dyDescent="0.25">
      <c r="A35" s="251" t="s">
        <v>1166</v>
      </c>
      <c r="B35" s="352">
        <v>0</v>
      </c>
      <c r="C35" s="352">
        <v>0</v>
      </c>
      <c r="D35" s="352">
        <v>0</v>
      </c>
      <c r="E35" s="352">
        <v>0</v>
      </c>
      <c r="F35" s="352">
        <v>0</v>
      </c>
    </row>
    <row r="36" spans="1:6" x14ac:dyDescent="0.25">
      <c r="A36" s="251" t="s">
        <v>1167</v>
      </c>
      <c r="B36" s="352" t="e">
        <f>NECESIDADES_DE_FINANCIACION!E28</f>
        <v>#N/A</v>
      </c>
      <c r="C36" s="352" t="e">
        <f>NECESIDADES_DE_FINANCIACION!F28</f>
        <v>#N/A</v>
      </c>
      <c r="D36" s="352" t="e">
        <f>NECESIDADES_DE_FINANCIACION!G28</f>
        <v>#N/A</v>
      </c>
      <c r="E36" s="352">
        <f>NECESIDADES_DE_FINANCIACION!H28</f>
        <v>0</v>
      </c>
      <c r="F36" s="352">
        <f>NECESIDADES_DE_FINANCIACION!I28</f>
        <v>0</v>
      </c>
    </row>
    <row r="37" spans="1:6" x14ac:dyDescent="0.25">
      <c r="A37" s="251" t="s">
        <v>1168</v>
      </c>
      <c r="B37" s="352" t="e">
        <f>NECESIDADES_DE_FINANCIACION!F28</f>
        <v>#N/A</v>
      </c>
      <c r="C37" s="352" t="e">
        <f>NECESIDADES_DE_FINANCIACION!G28</f>
        <v>#N/A</v>
      </c>
      <c r="D37" s="352">
        <f>NECESIDADES_DE_FINANCIACION!H28</f>
        <v>0</v>
      </c>
      <c r="E37" s="352">
        <f>NECESIDADES_DE_FINANCIACION!I28</f>
        <v>0</v>
      </c>
      <c r="F37" s="352">
        <f>NECESIDADES_DE_FINANCIACION!J28</f>
        <v>0</v>
      </c>
    </row>
    <row r="38" spans="1:6" x14ac:dyDescent="0.25">
      <c r="A38" s="251" t="s">
        <v>1169</v>
      </c>
      <c r="B38" s="352" t="e">
        <f>ESTADO_DE_RESULTADOS!B36*-1</f>
        <v>#N/A</v>
      </c>
      <c r="C38" s="352" t="e">
        <f>ESTADO_DE_RESULTADOS!C36*-1</f>
        <v>#N/A</v>
      </c>
      <c r="D38" s="352" t="e">
        <f>ESTADO_DE_RESULTADOS!D36*-1</f>
        <v>#N/A</v>
      </c>
      <c r="E38" s="352" t="e">
        <f>ESTADO_DE_RESULTADOS!E36*-1</f>
        <v>#N/A</v>
      </c>
      <c r="F38" s="352" t="e">
        <f>ESTADO_DE_RESULTADOS!F36*-1</f>
        <v>#N/A</v>
      </c>
    </row>
    <row r="39" spans="1:6" x14ac:dyDescent="0.25">
      <c r="A39" s="190" t="s">
        <v>1170</v>
      </c>
      <c r="B39" s="353"/>
      <c r="C39" s="353"/>
      <c r="D39" s="353"/>
      <c r="E39" s="353"/>
      <c r="F39" s="353"/>
    </row>
    <row r="40" spans="1:6" ht="15.75" thickBot="1" x14ac:dyDescent="0.3">
      <c r="A40" s="372" t="s">
        <v>1171</v>
      </c>
      <c r="B40" s="373" t="e">
        <f>SUM(B35:B39)</f>
        <v>#N/A</v>
      </c>
      <c r="C40" s="373" t="e">
        <f>SUM(C35:C39)</f>
        <v>#N/A</v>
      </c>
      <c r="D40" s="373" t="e">
        <f>SUM(D35:D39)</f>
        <v>#N/A</v>
      </c>
      <c r="E40" s="373" t="e">
        <f>SUM(E35:E39)</f>
        <v>#N/A</v>
      </c>
      <c r="F40" s="373" t="e">
        <f>SUM(F35:F39)</f>
        <v>#N/A</v>
      </c>
    </row>
    <row r="41" spans="1:6" ht="15.75" thickBot="1" x14ac:dyDescent="0.3"/>
    <row r="42" spans="1:6" x14ac:dyDescent="0.25">
      <c r="A42" s="252" t="s">
        <v>1172</v>
      </c>
      <c r="B42" s="354" t="e">
        <f>B13+B31+B40</f>
        <v>#N/A</v>
      </c>
      <c r="C42" s="354" t="e">
        <f>C13+C31+C40</f>
        <v>#N/A</v>
      </c>
      <c r="D42" s="354" t="e">
        <f>D13+D31+D40</f>
        <v>#N/A</v>
      </c>
      <c r="E42" s="354" t="e">
        <f>E13+E31+E40</f>
        <v>#N/A</v>
      </c>
      <c r="F42" s="354" t="e">
        <f>F13+F31+F40</f>
        <v>#N/A</v>
      </c>
    </row>
    <row r="43" spans="1:6" x14ac:dyDescent="0.25">
      <c r="A43" s="251" t="s">
        <v>1173</v>
      </c>
      <c r="B43" s="352" t="e">
        <f>BALANCE_GENERAL!B22</f>
        <v>#N/A</v>
      </c>
      <c r="C43" s="352" t="e">
        <f>BALANCE_GENERAL!C22</f>
        <v>#N/A</v>
      </c>
      <c r="D43" s="352" t="e">
        <f>BALANCE_GENERAL!D22</f>
        <v>#N/A</v>
      </c>
      <c r="E43" s="352" t="e">
        <f>BALANCE_GENERAL!E22</f>
        <v>#N/A</v>
      </c>
      <c r="F43" s="352" t="e">
        <f>BALANCE_GENERAL!F22</f>
        <v>#N/A</v>
      </c>
    </row>
    <row r="44" spans="1:6" ht="15.75" thickBot="1" x14ac:dyDescent="0.3">
      <c r="A44" s="374" t="s">
        <v>1174</v>
      </c>
      <c r="B44" s="375" t="e">
        <f>B42+B43</f>
        <v>#N/A</v>
      </c>
      <c r="C44" s="375" t="e">
        <f>C42+C43</f>
        <v>#N/A</v>
      </c>
      <c r="D44" s="375" t="e">
        <f>D42+D43</f>
        <v>#N/A</v>
      </c>
      <c r="E44" s="375" t="e">
        <f>E42+E43</f>
        <v>#N/A</v>
      </c>
      <c r="F44" s="375" t="e">
        <f>F42+F43</f>
        <v>#N/A</v>
      </c>
    </row>
  </sheetData>
  <mergeCells count="3">
    <mergeCell ref="A7:F7"/>
    <mergeCell ref="A15:F15"/>
    <mergeCell ref="A33:F33"/>
  </mergeCell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4"/>
  <dimension ref="A4:N75"/>
  <sheetViews>
    <sheetView showGridLines="0" zoomScaleNormal="100" workbookViewId="0"/>
  </sheetViews>
  <sheetFormatPr baseColWidth="10" defaultColWidth="11.42578125" defaultRowHeight="15" x14ac:dyDescent="0.25"/>
  <cols>
    <col min="1" max="1" width="42" style="99" customWidth="1"/>
    <col min="2" max="2" width="19" style="99" customWidth="1"/>
    <col min="3" max="3" width="26.42578125" style="99" customWidth="1"/>
    <col min="4" max="4" width="20.140625" style="99" customWidth="1"/>
    <col min="5" max="5" width="29.28515625" style="99" customWidth="1"/>
    <col min="6" max="6" width="22.7109375" style="99" customWidth="1"/>
    <col min="7" max="7" width="23.5703125" style="99" customWidth="1"/>
    <col min="8" max="8" width="23" style="99" customWidth="1"/>
    <col min="9" max="16384" width="11.42578125" style="99"/>
  </cols>
  <sheetData>
    <row r="4" spans="1:8" x14ac:dyDescent="0.25">
      <c r="F4" s="258"/>
    </row>
    <row r="8" spans="1:8" ht="15.75" thickBot="1" x14ac:dyDescent="0.3"/>
    <row r="9" spans="1:8" ht="14.45" customHeight="1" x14ac:dyDescent="0.25">
      <c r="A9" s="751" t="s">
        <v>1175</v>
      </c>
      <c r="B9" s="752"/>
      <c r="C9" s="752"/>
      <c r="D9" s="752"/>
      <c r="E9" s="752"/>
      <c r="F9" s="752"/>
      <c r="G9" s="752"/>
      <c r="H9" s="749">
        <f>BASES!H24</f>
        <v>0.38</v>
      </c>
    </row>
    <row r="10" spans="1:8" ht="15.75" thickBot="1" x14ac:dyDescent="0.3">
      <c r="A10" s="753"/>
      <c r="B10" s="754"/>
      <c r="C10" s="754"/>
      <c r="D10" s="754"/>
      <c r="E10" s="754"/>
      <c r="F10" s="754"/>
      <c r="G10" s="754"/>
      <c r="H10" s="750"/>
    </row>
    <row r="11" spans="1:8" ht="19.5" thickBot="1" x14ac:dyDescent="0.35">
      <c r="A11" s="755" t="s">
        <v>1176</v>
      </c>
      <c r="B11" s="756"/>
      <c r="C11" s="756"/>
      <c r="D11" s="756"/>
      <c r="E11" s="756"/>
      <c r="F11" s="756"/>
      <c r="G11" s="756"/>
      <c r="H11" s="259" t="e">
        <f>NECESIDADES_DE_FINANCIACION!E19</f>
        <v>#N/A</v>
      </c>
    </row>
    <row r="13" spans="1:8" ht="15.75" thickBot="1" x14ac:dyDescent="0.3"/>
    <row r="14" spans="1:8" ht="15.75" thickBot="1" x14ac:dyDescent="0.3">
      <c r="C14" s="757" t="s">
        <v>1177</v>
      </c>
      <c r="D14" s="758"/>
      <c r="E14" s="758"/>
      <c r="F14" s="758"/>
      <c r="G14" s="758"/>
      <c r="H14" s="759"/>
    </row>
    <row r="15" spans="1:8" ht="15.75" thickBot="1" x14ac:dyDescent="0.3"/>
    <row r="16" spans="1:8" x14ac:dyDescent="0.25">
      <c r="A16" s="774" t="s">
        <v>1165</v>
      </c>
      <c r="B16" s="775"/>
      <c r="C16" s="273" t="str">
        <f>BASES!C11</f>
        <v>AÑO 0</v>
      </c>
      <c r="D16" s="274" t="str">
        <f>BASES!D11</f>
        <v>AÑO 1</v>
      </c>
      <c r="E16" s="274" t="str">
        <f>BASES!E11</f>
        <v>AÑO 2</v>
      </c>
      <c r="F16" s="274" t="str">
        <f>BASES!F11</f>
        <v>AÑO 3</v>
      </c>
      <c r="G16" s="274" t="str">
        <f>BASES!G11</f>
        <v>AÑO 4</v>
      </c>
      <c r="H16" s="274" t="str">
        <f>BASES!H11</f>
        <v>AÑO 5</v>
      </c>
    </row>
    <row r="17" spans="1:10" ht="15.75" thickBot="1" x14ac:dyDescent="0.3">
      <c r="A17" s="741" t="s">
        <v>1178</v>
      </c>
      <c r="B17" s="742"/>
      <c r="C17" s="260" t="e">
        <f>H11*-1</f>
        <v>#N/A</v>
      </c>
      <c r="D17" s="260" t="e">
        <f>FLUJO_DE_CAJA!B44</f>
        <v>#N/A</v>
      </c>
      <c r="E17" s="260" t="e">
        <f>FLUJO_DE_CAJA!C44</f>
        <v>#N/A</v>
      </c>
      <c r="F17" s="260" t="e">
        <f>FLUJO_DE_CAJA!D44</f>
        <v>#N/A</v>
      </c>
      <c r="G17" s="260" t="e">
        <f>FLUJO_DE_CAJA!E44</f>
        <v>#N/A</v>
      </c>
      <c r="H17" s="260" t="e">
        <f>FLUJO_DE_CAJA!F44</f>
        <v>#N/A</v>
      </c>
    </row>
    <row r="18" spans="1:10" ht="15.75" thickBot="1" x14ac:dyDescent="0.3"/>
    <row r="19" spans="1:10" x14ac:dyDescent="0.25">
      <c r="C19" s="760" t="s">
        <v>1179</v>
      </c>
      <c r="D19" s="761"/>
      <c r="E19" s="261" t="e">
        <f>C17+NPV(H9,D17:H17)</f>
        <v>#N/A</v>
      </c>
    </row>
    <row r="20" spans="1:10" ht="15.75" thickBot="1" x14ac:dyDescent="0.3">
      <c r="C20" s="762" t="s">
        <v>1180</v>
      </c>
      <c r="D20" s="763"/>
      <c r="E20" s="262" t="e">
        <f>IRR(C17:H17)</f>
        <v>#VALUE!</v>
      </c>
    </row>
    <row r="22" spans="1:10" ht="15.75" thickBot="1" x14ac:dyDescent="0.3"/>
    <row r="23" spans="1:10" x14ac:dyDescent="0.25">
      <c r="A23" s="764" t="s">
        <v>1181</v>
      </c>
      <c r="B23" s="766" t="e">
        <f>E20</f>
        <v>#VALUE!</v>
      </c>
      <c r="C23" s="768" t="s">
        <v>1182</v>
      </c>
      <c r="D23" s="770">
        <f>H9</f>
        <v>0.38</v>
      </c>
      <c r="E23" s="735" t="s">
        <v>1183</v>
      </c>
      <c r="F23" s="735"/>
      <c r="G23" s="772" t="s">
        <v>1184</v>
      </c>
      <c r="H23" s="745" t="s">
        <v>1185</v>
      </c>
    </row>
    <row r="24" spans="1:10" ht="15.75" thickBot="1" x14ac:dyDescent="0.3">
      <c r="A24" s="765"/>
      <c r="B24" s="767"/>
      <c r="C24" s="769"/>
      <c r="D24" s="771"/>
      <c r="E24" s="736"/>
      <c r="F24" s="736"/>
      <c r="G24" s="773"/>
      <c r="H24" s="746"/>
    </row>
    <row r="25" spans="1:10" ht="15.75" thickBot="1" x14ac:dyDescent="0.3">
      <c r="J25" s="263"/>
    </row>
    <row r="26" spans="1:10" x14ac:dyDescent="0.25">
      <c r="A26" s="724" t="s">
        <v>1181</v>
      </c>
      <c r="B26" s="726" t="e">
        <f>E20</f>
        <v>#VALUE!</v>
      </c>
      <c r="C26" s="720" t="s">
        <v>1186</v>
      </c>
      <c r="D26" s="726">
        <f>H9</f>
        <v>0.38</v>
      </c>
      <c r="E26" s="735" t="s">
        <v>1187</v>
      </c>
      <c r="F26" s="735"/>
      <c r="G26" s="718" t="s">
        <v>1188</v>
      </c>
      <c r="H26" s="745" t="s">
        <v>1189</v>
      </c>
    </row>
    <row r="27" spans="1:10" ht="15.75" thickBot="1" x14ac:dyDescent="0.3">
      <c r="A27" s="725"/>
      <c r="B27" s="727"/>
      <c r="C27" s="721"/>
      <c r="D27" s="727"/>
      <c r="E27" s="736"/>
      <c r="F27" s="736"/>
      <c r="G27" s="719"/>
      <c r="H27" s="746"/>
    </row>
    <row r="28" spans="1:10" ht="15.75" thickBot="1" x14ac:dyDescent="0.3"/>
    <row r="29" spans="1:10" x14ac:dyDescent="0.25">
      <c r="A29" s="724" t="s">
        <v>1181</v>
      </c>
      <c r="B29" s="728" t="e">
        <f>E20</f>
        <v>#VALUE!</v>
      </c>
      <c r="C29" s="720" t="s">
        <v>1190</v>
      </c>
      <c r="D29" s="726">
        <f>H9</f>
        <v>0.38</v>
      </c>
      <c r="E29" s="735" t="s">
        <v>1183</v>
      </c>
      <c r="F29" s="735"/>
      <c r="G29" s="718" t="s">
        <v>1191</v>
      </c>
      <c r="H29" s="747" t="s">
        <v>1192</v>
      </c>
    </row>
    <row r="30" spans="1:10" ht="15.75" thickBot="1" x14ac:dyDescent="0.3">
      <c r="A30" s="725"/>
      <c r="B30" s="727"/>
      <c r="C30" s="721"/>
      <c r="D30" s="727"/>
      <c r="E30" s="736"/>
      <c r="F30" s="736"/>
      <c r="G30" s="719"/>
      <c r="H30" s="748"/>
    </row>
    <row r="31" spans="1:10" ht="15.75" thickBot="1" x14ac:dyDescent="0.3"/>
    <row r="32" spans="1:10" x14ac:dyDescent="0.25">
      <c r="A32" s="737" t="s">
        <v>1193</v>
      </c>
      <c r="B32" s="738"/>
      <c r="C32" s="264" t="str">
        <f>D16</f>
        <v>AÑO 1</v>
      </c>
      <c r="D32" s="264" t="str">
        <f>E16</f>
        <v>AÑO 2</v>
      </c>
      <c r="E32" s="264" t="str">
        <f>F16</f>
        <v>AÑO 3</v>
      </c>
      <c r="F32" s="264" t="str">
        <f>G16</f>
        <v>AÑO 4</v>
      </c>
      <c r="G32" s="264" t="str">
        <f>H16</f>
        <v>AÑO 5</v>
      </c>
    </row>
    <row r="33" spans="1:7" x14ac:dyDescent="0.25">
      <c r="A33" s="739" t="s">
        <v>1194</v>
      </c>
      <c r="B33" s="740"/>
      <c r="C33" s="275" t="e">
        <f>IF(BALANCE_GENERAL!C63=0,0,BALANCE_GENERAL!C25/BALANCE_GENERAL!C63)</f>
        <v>#N/A</v>
      </c>
      <c r="D33" s="275" t="e">
        <f>IF(BALANCE_GENERAL!D63=0,0,BALANCE_GENERAL!D25/BALANCE_GENERAL!D63)</f>
        <v>#N/A</v>
      </c>
      <c r="E33" s="275" t="e">
        <f>IF(BALANCE_GENERAL!E63=0,0,BALANCE_GENERAL!E25/BALANCE_GENERAL!E63)</f>
        <v>#N/A</v>
      </c>
      <c r="F33" s="275" t="e">
        <f>IF(BALANCE_GENERAL!F63=0,0,BALANCE_GENERAL!F25/BALANCE_GENERAL!F63)</f>
        <v>#N/A</v>
      </c>
      <c r="G33" s="275" t="e">
        <f>IF(BALANCE_GENERAL!G63=0,0,BALANCE_GENERAL!G25/BALANCE_GENERAL!G63)</f>
        <v>#N/A</v>
      </c>
    </row>
    <row r="34" spans="1:7" x14ac:dyDescent="0.25">
      <c r="A34" s="739" t="s">
        <v>1195</v>
      </c>
      <c r="B34" s="740"/>
      <c r="C34" s="276" t="e">
        <f>IF(BALANCE_GENERAL!B57=0,0,BALANCE_GENERAL!B65/BALANCE_GENERAL!B57)</f>
        <v>#N/A</v>
      </c>
      <c r="D34" s="276" t="e">
        <f>IF(BALANCE_GENERAL!C57=0,0,BALANCE_GENERAL!C65/BALANCE_GENERAL!C57)</f>
        <v>#N/A</v>
      </c>
      <c r="E34" s="276" t="e">
        <f>IF(BALANCE_GENERAL!D57=0,0,BALANCE_GENERAL!D65/BALANCE_GENERAL!D57)</f>
        <v>#N/A</v>
      </c>
      <c r="F34" s="276" t="e">
        <f>IF(BALANCE_GENERAL!E57=0,0,BALANCE_GENERAL!E65/BALANCE_GENERAL!E57)</f>
        <v>#N/A</v>
      </c>
      <c r="G34" s="276" t="e">
        <f>IF(BALANCE_GENERAL!F57=0,0,BALANCE_GENERAL!F65/BALANCE_GENERAL!F57)</f>
        <v>#N/A</v>
      </c>
    </row>
    <row r="35" spans="1:7" x14ac:dyDescent="0.25">
      <c r="A35" s="739" t="s">
        <v>1196</v>
      </c>
      <c r="B35" s="740"/>
      <c r="C35" s="276" t="e">
        <f>IF(ESTADO_DE_RESULTADOS!B4=0,0,ESTADO_DE_RESULTADOS!B16/ESTADO_DE_RESULTADOS!B4)</f>
        <v>#N/A</v>
      </c>
      <c r="D35" s="276" t="e">
        <f>IF(ESTADO_DE_RESULTADOS!C4=0,0,ESTADO_DE_RESULTADOS!C16/ESTADO_DE_RESULTADOS!C4)</f>
        <v>#N/A</v>
      </c>
      <c r="E35" s="276" t="e">
        <f>IF(ESTADO_DE_RESULTADOS!D4=0,0,ESTADO_DE_RESULTADOS!D16/ESTADO_DE_RESULTADOS!D4)</f>
        <v>#N/A</v>
      </c>
      <c r="F35" s="276" t="e">
        <f>IF(ESTADO_DE_RESULTADOS!E4=0,0,ESTADO_DE_RESULTADOS!E16/ESTADO_DE_RESULTADOS!E4)</f>
        <v>#N/A</v>
      </c>
      <c r="G35" s="276" t="e">
        <f>IF(ESTADO_DE_RESULTADOS!F4=0,0,ESTADO_DE_RESULTADOS!F16/ESTADO_DE_RESULTADOS!F4)</f>
        <v>#N/A</v>
      </c>
    </row>
    <row r="36" spans="1:7" x14ac:dyDescent="0.25">
      <c r="A36" s="739" t="s">
        <v>1197</v>
      </c>
      <c r="B36" s="740"/>
      <c r="C36" s="276" t="e">
        <f>IF(ESTADO_DE_RESULTADOS!B4=0,0,ESTADO_DE_RESULTADOS!B31/ESTADO_DE_RESULTADOS!B4)</f>
        <v>#N/A</v>
      </c>
      <c r="D36" s="276" t="e">
        <f>IF(ESTADO_DE_RESULTADOS!C4=0,0,ESTADO_DE_RESULTADOS!C31/ESTADO_DE_RESULTADOS!C4)</f>
        <v>#N/A</v>
      </c>
      <c r="E36" s="276" t="e">
        <f>IF(ESTADO_DE_RESULTADOS!D4=0,0,ESTADO_DE_RESULTADOS!D31/ESTADO_DE_RESULTADOS!D4)</f>
        <v>#N/A</v>
      </c>
      <c r="F36" s="276" t="e">
        <f>IF(ESTADO_DE_RESULTADOS!E4=0,0,ESTADO_DE_RESULTADOS!E31/ESTADO_DE_RESULTADOS!E4)</f>
        <v>#N/A</v>
      </c>
      <c r="G36" s="276" t="e">
        <f>IF(ESTADO_DE_RESULTADOS!F4=0,0,ESTADO_DE_RESULTADOS!F31/ESTADO_DE_RESULTADOS!F4)</f>
        <v>#N/A</v>
      </c>
    </row>
    <row r="37" spans="1:7" x14ac:dyDescent="0.25">
      <c r="A37" s="739" t="s">
        <v>1198</v>
      </c>
      <c r="B37" s="740"/>
      <c r="C37" s="276">
        <f>IF(BALANCE_GENERAL!B72=0,0,BALANCE_GENERAL!B34/BALANCE_GENERAL!B72)</f>
        <v>0</v>
      </c>
      <c r="D37" s="276" t="e">
        <f>IF(BALANCE_GENERAL!C72=0,0,BALANCE_GENERAL!C34/BALANCE_GENERAL!C72)</f>
        <v>#N/A</v>
      </c>
      <c r="E37" s="276" t="e">
        <f>IF(BALANCE_GENERAL!D72=0,0,BALANCE_GENERAL!D34/BALANCE_GENERAL!D72)</f>
        <v>#N/A</v>
      </c>
      <c r="F37" s="276" t="e">
        <f>IF(BALANCE_GENERAL!E72=0,0,BALANCE_GENERAL!E34/BALANCE_GENERAL!E72)</f>
        <v>#N/A</v>
      </c>
      <c r="G37" s="276" t="e">
        <f>IF(BALANCE_GENERAL!F72=0,0,BALANCE_GENERAL!F34/BALANCE_GENERAL!F72)</f>
        <v>#N/A</v>
      </c>
    </row>
    <row r="38" spans="1:7" ht="15.75" thickBot="1" x14ac:dyDescent="0.3">
      <c r="A38" s="722" t="s">
        <v>1199</v>
      </c>
      <c r="B38" s="723"/>
      <c r="C38" s="277" t="e">
        <f>IF(BALANCE_GENERAL!B57=0,0,BALANCE_GENERAL!B34/BALANCE_GENERAL!B57)</f>
        <v>#N/A</v>
      </c>
      <c r="D38" s="277" t="e">
        <f>IF(BALANCE_GENERAL!C57=0,0,BALANCE_GENERAL!C34/BALANCE_GENERAL!C57)</f>
        <v>#N/A</v>
      </c>
      <c r="E38" s="277" t="e">
        <f>IF(BALANCE_GENERAL!D57=0,0,BALANCE_GENERAL!D34/BALANCE_GENERAL!D57)</f>
        <v>#N/A</v>
      </c>
      <c r="F38" s="277" t="e">
        <f>IF(BALANCE_GENERAL!E57=0,0,BALANCE_GENERAL!E34/BALANCE_GENERAL!E57)</f>
        <v>#N/A</v>
      </c>
      <c r="G38" s="277" t="e">
        <f>IF(BALANCE_GENERAL!F57=0,0,BALANCE_GENERAL!F34/BALANCE_GENERAL!F57)</f>
        <v>#N/A</v>
      </c>
    </row>
    <row r="39" spans="1:7" x14ac:dyDescent="0.25">
      <c r="A39" s="729" t="s">
        <v>1200</v>
      </c>
      <c r="B39" s="730"/>
      <c r="C39" s="733" t="str">
        <f>IF(ISERROR(-C17/AVERAGE(D17:H17)),"N.A.",(-C17/AVERAGE(D17:H17)))</f>
        <v>N.A.</v>
      </c>
      <c r="D39" s="733"/>
      <c r="E39" s="716" t="s">
        <v>1007</v>
      </c>
      <c r="F39" s="265"/>
      <c r="G39" s="265"/>
    </row>
    <row r="40" spans="1:7" ht="15.75" thickBot="1" x14ac:dyDescent="0.3">
      <c r="A40" s="731"/>
      <c r="B40" s="732"/>
      <c r="C40" s="734"/>
      <c r="D40" s="734"/>
      <c r="E40" s="717"/>
      <c r="F40" s="265"/>
      <c r="G40" s="265"/>
    </row>
    <row r="44" spans="1:7" ht="15.75" thickBot="1" x14ac:dyDescent="0.3"/>
    <row r="45" spans="1:7" ht="46.9" customHeight="1" thickBot="1" x14ac:dyDescent="0.3">
      <c r="A45" s="266" t="s">
        <v>1201</v>
      </c>
      <c r="B45" s="267" t="s">
        <v>1202</v>
      </c>
      <c r="C45" s="437" t="e">
        <f>C17*-1</f>
        <v>#N/A</v>
      </c>
      <c r="D45" s="267" t="s">
        <v>1203</v>
      </c>
      <c r="E45" s="268" t="s">
        <v>1204</v>
      </c>
      <c r="F45" s="269" t="s">
        <v>1205</v>
      </c>
    </row>
    <row r="46" spans="1:7" ht="35.450000000000003" customHeight="1" thickBot="1" x14ac:dyDescent="0.3">
      <c r="A46" s="743" t="s">
        <v>1206</v>
      </c>
      <c r="B46" s="270" t="s">
        <v>1207</v>
      </c>
      <c r="C46" s="430">
        <f>NECESIDADES_DE_FINANCIACION!E20</f>
        <v>0</v>
      </c>
      <c r="D46" s="431" t="e">
        <f>IF(C45=0,0,C46/C45)</f>
        <v>#N/A</v>
      </c>
      <c r="E46" s="432">
        <f>H9</f>
        <v>0.38</v>
      </c>
      <c r="F46" s="433">
        <f>MAX(BASES!D17:H17)</f>
        <v>0.35</v>
      </c>
    </row>
    <row r="47" spans="1:7" ht="45" customHeight="1" thickBot="1" x14ac:dyDescent="0.3">
      <c r="A47" s="744"/>
      <c r="B47" s="271" t="s">
        <v>1208</v>
      </c>
      <c r="C47" s="438" t="e">
        <f>NECESIDADES_DE_FINANCIACION!E21</f>
        <v>#N/A</v>
      </c>
      <c r="D47" s="434" t="e">
        <f>IF(C45=0,0,C47/C45)</f>
        <v>#N/A</v>
      </c>
      <c r="E47" s="435">
        <f>NECESIDADES_DE_FINANCIACION!E24</f>
        <v>0</v>
      </c>
      <c r="F47" s="436"/>
    </row>
    <row r="49" spans="1:2" ht="15.75" thickBot="1" x14ac:dyDescent="0.3"/>
    <row r="50" spans="1:2" ht="15.75" thickBot="1" x14ac:dyDescent="0.3">
      <c r="A50" s="272" t="s">
        <v>1209</v>
      </c>
      <c r="B50" s="278" t="e">
        <f>IF((D47*E47*(1-F46))+(D46*E46)&lt;0,"N.A.",(D47*E47*(1-F46))+(D46*E46))</f>
        <v>#N/A</v>
      </c>
    </row>
    <row r="75" spans="14:14" x14ac:dyDescent="0.25">
      <c r="N75" s="99" t="s">
        <v>981</v>
      </c>
    </row>
  </sheetData>
  <mergeCells count="40">
    <mergeCell ref="H23:H24"/>
    <mergeCell ref="H26:H27"/>
    <mergeCell ref="H29:H30"/>
    <mergeCell ref="H9:H10"/>
    <mergeCell ref="A9:G10"/>
    <mergeCell ref="A11:G11"/>
    <mergeCell ref="C14:H14"/>
    <mergeCell ref="C19:D19"/>
    <mergeCell ref="C20:D20"/>
    <mergeCell ref="A23:A24"/>
    <mergeCell ref="B23:B24"/>
    <mergeCell ref="C23:C24"/>
    <mergeCell ref="D23:D24"/>
    <mergeCell ref="E23:F24"/>
    <mergeCell ref="G23:G24"/>
    <mergeCell ref="A16:B16"/>
    <mergeCell ref="A26:A27"/>
    <mergeCell ref="A17:B17"/>
    <mergeCell ref="A46:A47"/>
    <mergeCell ref="A37:B37"/>
    <mergeCell ref="D26:D27"/>
    <mergeCell ref="D29:D30"/>
    <mergeCell ref="A35:B35"/>
    <mergeCell ref="A36:B36"/>
    <mergeCell ref="E39:E40"/>
    <mergeCell ref="G26:G27"/>
    <mergeCell ref="G29:G30"/>
    <mergeCell ref="C29:C30"/>
    <mergeCell ref="A38:B38"/>
    <mergeCell ref="A29:A30"/>
    <mergeCell ref="B26:B27"/>
    <mergeCell ref="B29:B30"/>
    <mergeCell ref="C26:C27"/>
    <mergeCell ref="A39:B40"/>
    <mergeCell ref="C39:D40"/>
    <mergeCell ref="E26:F27"/>
    <mergeCell ref="E29:F30"/>
    <mergeCell ref="A32:B32"/>
    <mergeCell ref="A33:B33"/>
    <mergeCell ref="A34:B34"/>
  </mergeCells>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dimension ref="B1:Z82"/>
  <sheetViews>
    <sheetView showGridLines="0" zoomScaleNormal="100" workbookViewId="0"/>
  </sheetViews>
  <sheetFormatPr baseColWidth="10" defaultColWidth="11.42578125" defaultRowHeight="15.75" x14ac:dyDescent="0.25"/>
  <cols>
    <col min="1" max="1" width="11.42578125" style="38"/>
    <col min="2" max="2" width="57.5703125" style="38" bestFit="1" customWidth="1"/>
    <col min="3" max="10" width="11.42578125" style="38"/>
    <col min="11" max="11" width="25.42578125" style="38" bestFit="1" customWidth="1"/>
    <col min="12" max="12" width="24.7109375" style="38" customWidth="1"/>
    <col min="13" max="13" width="12.7109375" style="38" customWidth="1"/>
    <col min="14" max="14" width="25.5703125" style="38" bestFit="1" customWidth="1"/>
    <col min="15" max="15" width="16.42578125" style="38" customWidth="1"/>
    <col min="16" max="20" width="16.85546875" style="38" bestFit="1" customWidth="1"/>
    <col min="21" max="21" width="23.85546875" style="38" bestFit="1" customWidth="1"/>
    <col min="22" max="26" width="16.85546875" style="38" bestFit="1" customWidth="1"/>
    <col min="27" max="16384" width="11.42578125" style="38"/>
  </cols>
  <sheetData>
    <row r="1" spans="2:26" ht="16.5" thickBot="1" x14ac:dyDescent="0.3"/>
    <row r="2" spans="2:26" ht="16.5" thickBot="1" x14ac:dyDescent="0.3">
      <c r="B2" s="777" t="s">
        <v>1210</v>
      </c>
      <c r="C2" s="778"/>
      <c r="D2" s="778"/>
      <c r="E2" s="778"/>
      <c r="F2" s="778"/>
      <c r="G2" s="778"/>
      <c r="H2" s="778"/>
      <c r="I2" s="778"/>
      <c r="J2" s="778"/>
      <c r="K2" s="778"/>
      <c r="L2" s="778"/>
      <c r="M2" s="778"/>
      <c r="N2" s="778"/>
      <c r="O2" s="778"/>
      <c r="P2" s="778"/>
      <c r="Q2" s="778"/>
      <c r="R2" s="778"/>
      <c r="S2" s="778"/>
      <c r="T2" s="778"/>
      <c r="U2" s="778"/>
      <c r="V2" s="778"/>
      <c r="W2" s="778"/>
      <c r="X2" s="778"/>
      <c r="Y2" s="778"/>
      <c r="Z2" s="779"/>
    </row>
    <row r="3" spans="2:26" ht="16.5" thickBot="1" x14ac:dyDescent="0.3"/>
    <row r="4" spans="2:26" ht="16.5" thickBot="1" x14ac:dyDescent="0.3">
      <c r="P4" s="780" t="s">
        <v>1211</v>
      </c>
      <c r="Q4" s="781"/>
      <c r="R4" s="781"/>
      <c r="S4" s="781"/>
      <c r="T4" s="782"/>
      <c r="U4" s="390" t="s">
        <v>1212</v>
      </c>
      <c r="V4" s="781" t="s">
        <v>1213</v>
      </c>
      <c r="W4" s="781"/>
      <c r="X4" s="781"/>
      <c r="Y4" s="781"/>
      <c r="Z4" s="782"/>
    </row>
    <row r="5" spans="2:26" ht="32.25" customHeight="1" x14ac:dyDescent="0.25"/>
    <row r="6" spans="2:26" x14ac:dyDescent="0.25">
      <c r="N6" s="39"/>
      <c r="O6" s="39"/>
      <c r="P6" s="776" t="s">
        <v>1214</v>
      </c>
      <c r="Q6" s="776"/>
      <c r="R6" s="776"/>
      <c r="S6" s="776"/>
      <c r="T6" s="776"/>
      <c r="U6" s="776"/>
      <c r="V6" s="776"/>
      <c r="W6" s="776"/>
      <c r="X6" s="776"/>
      <c r="Y6" s="776"/>
      <c r="Z6" s="776"/>
    </row>
    <row r="7" spans="2:26" x14ac:dyDescent="0.25">
      <c r="B7" s="51" t="s">
        <v>1215</v>
      </c>
      <c r="C7" s="37">
        <v>0</v>
      </c>
      <c r="N7" s="39"/>
      <c r="O7" s="39"/>
      <c r="P7" s="783" t="s">
        <v>1216</v>
      </c>
      <c r="Q7" s="783"/>
      <c r="R7" s="783"/>
      <c r="S7" s="783"/>
      <c r="T7" s="783"/>
      <c r="U7" s="783"/>
      <c r="V7" s="783"/>
      <c r="W7" s="783"/>
      <c r="X7" s="783"/>
      <c r="Y7" s="783"/>
      <c r="Z7" s="783"/>
    </row>
    <row r="8" spans="2:26" x14ac:dyDescent="0.25">
      <c r="N8" s="383"/>
      <c r="O8" s="383"/>
      <c r="P8" s="384">
        <v>-0.1</v>
      </c>
      <c r="Q8" s="384">
        <v>-0.08</v>
      </c>
      <c r="R8" s="384">
        <v>-0.06</v>
      </c>
      <c r="S8" s="384">
        <v>-0.04</v>
      </c>
      <c r="T8" s="384">
        <v>-0.02</v>
      </c>
      <c r="U8" s="384">
        <v>0</v>
      </c>
      <c r="V8" s="384">
        <v>0.02</v>
      </c>
      <c r="W8" s="384">
        <v>0.04</v>
      </c>
      <c r="X8" s="384">
        <v>0.06</v>
      </c>
      <c r="Y8" s="384">
        <v>0.08</v>
      </c>
      <c r="Z8" s="384">
        <v>0.1</v>
      </c>
    </row>
    <row r="9" spans="2:26" ht="31.5" customHeight="1" x14ac:dyDescent="0.25">
      <c r="B9" s="394" t="s">
        <v>1106</v>
      </c>
      <c r="C9" s="395" t="str">
        <f>ESTADO_DE_RESULTADOS!B3</f>
        <v>AÑO 1</v>
      </c>
      <c r="D9" s="395" t="str">
        <f>ESTADO_DE_RESULTADOS!C3</f>
        <v>AÑO 2</v>
      </c>
      <c r="E9" s="395" t="str">
        <f>ESTADO_DE_RESULTADOS!D3</f>
        <v>AÑO 3</v>
      </c>
      <c r="F9" s="395" t="str">
        <f>ESTADO_DE_RESULTADOS!E3</f>
        <v>AÑO 4</v>
      </c>
      <c r="G9" s="395" t="str">
        <f>ESTADO_DE_RESULTADOS!F3</f>
        <v>AÑO 5</v>
      </c>
      <c r="N9" s="385" t="s">
        <v>1107</v>
      </c>
      <c r="O9" s="389" t="e">
        <f>C10</f>
        <v>#N/A</v>
      </c>
      <c r="P9" s="391"/>
      <c r="Q9" s="391"/>
      <c r="R9" s="391"/>
      <c r="S9" s="391"/>
      <c r="T9" s="391"/>
      <c r="U9" s="389"/>
      <c r="V9" s="391"/>
      <c r="W9" s="391"/>
      <c r="X9" s="391"/>
      <c r="Y9" s="391"/>
      <c r="Z9" s="391"/>
    </row>
    <row r="10" spans="2:26" x14ac:dyDescent="0.25">
      <c r="B10" s="396" t="s">
        <v>1107</v>
      </c>
      <c r="C10" s="386" t="e">
        <f>ESTADO_DE_RESULTADOS!B4*(1+$C$7)</f>
        <v>#N/A</v>
      </c>
      <c r="D10" s="386" t="e">
        <f>ESTADO_DE_RESULTADOS!C4*(1+$C$7)</f>
        <v>#N/A</v>
      </c>
      <c r="E10" s="386" t="e">
        <f>ESTADO_DE_RESULTADOS!D4*(1+$C$7)</f>
        <v>#N/A</v>
      </c>
      <c r="F10" s="386" t="e">
        <f>ESTADO_DE_RESULTADOS!E4*(1+$C$7)</f>
        <v>#N/A</v>
      </c>
      <c r="G10" s="386" t="e">
        <f>ESTADO_DE_RESULTADOS!F4*(1+$C$7)</f>
        <v>#N/A</v>
      </c>
      <c r="N10" s="385" t="s">
        <v>1112</v>
      </c>
      <c r="O10" s="389" t="e">
        <f>C15</f>
        <v>#N/A</v>
      </c>
      <c r="P10" s="391"/>
      <c r="Q10" s="391"/>
      <c r="R10" s="391"/>
      <c r="S10" s="391"/>
      <c r="T10" s="391"/>
      <c r="U10" s="389"/>
      <c r="V10" s="391"/>
      <c r="W10" s="391"/>
      <c r="X10" s="391"/>
      <c r="Y10" s="391"/>
      <c r="Z10" s="391"/>
    </row>
    <row r="11" spans="2:26" x14ac:dyDescent="0.25">
      <c r="B11" s="396" t="s">
        <v>1108</v>
      </c>
      <c r="C11" s="397" t="e">
        <f>ESTADO_DE_RESULTADOS!B5</f>
        <v>#N/A</v>
      </c>
      <c r="D11" s="397" t="e">
        <f>ESTADO_DE_RESULTADOS!C5</f>
        <v>#N/A</v>
      </c>
      <c r="E11" s="397" t="e">
        <f>ESTADO_DE_RESULTADOS!D5</f>
        <v>#N/A</v>
      </c>
      <c r="F11" s="397" t="e">
        <f>ESTADO_DE_RESULTADOS!E5</f>
        <v>#N/A</v>
      </c>
      <c r="G11" s="397" t="e">
        <f>ESTADO_DE_RESULTADOS!F5</f>
        <v>#N/A</v>
      </c>
      <c r="N11" s="385" t="s">
        <v>1217</v>
      </c>
      <c r="O11" s="389" t="e">
        <f>C22</f>
        <v>#N/A</v>
      </c>
      <c r="P11" s="391"/>
      <c r="Q11" s="391"/>
      <c r="R11" s="391"/>
      <c r="S11" s="391"/>
      <c r="T11" s="391"/>
      <c r="U11" s="389"/>
      <c r="V11" s="391"/>
      <c r="W11" s="391"/>
      <c r="X11" s="391"/>
      <c r="Y11" s="391"/>
      <c r="Z11" s="391"/>
    </row>
    <row r="12" spans="2:26" x14ac:dyDescent="0.25">
      <c r="B12" s="396" t="s">
        <v>1109</v>
      </c>
      <c r="C12" s="386" t="e">
        <f>ESTADO_DE_RESULTADOS!B6</f>
        <v>#N/A</v>
      </c>
      <c r="D12" s="386" t="e">
        <f>ESTADO_DE_RESULTADOS!C6</f>
        <v>#N/A</v>
      </c>
      <c r="E12" s="386" t="e">
        <f>ESTADO_DE_RESULTADOS!D6</f>
        <v>#N/A</v>
      </c>
      <c r="F12" s="386" t="e">
        <f>ESTADO_DE_RESULTADOS!E6</f>
        <v>#N/A</v>
      </c>
      <c r="G12" s="386" t="e">
        <f>ESTADO_DE_RESULTADOS!F6</f>
        <v>#N/A</v>
      </c>
      <c r="N12" s="385" t="s">
        <v>1218</v>
      </c>
      <c r="O12" s="389" t="e">
        <f>C33</f>
        <v>#N/A</v>
      </c>
      <c r="P12" s="391"/>
      <c r="Q12" s="391"/>
      <c r="R12" s="391"/>
      <c r="S12" s="391"/>
      <c r="T12" s="391"/>
      <c r="U12" s="389"/>
      <c r="V12" s="391"/>
      <c r="W12" s="391"/>
      <c r="X12" s="391"/>
      <c r="Y12" s="391"/>
      <c r="Z12" s="391"/>
    </row>
    <row r="13" spans="2:26" x14ac:dyDescent="0.25">
      <c r="B13" s="396" t="s">
        <v>1110</v>
      </c>
      <c r="C13" s="386">
        <f>ESTADO_DE_RESULTADOS!B7</f>
        <v>0</v>
      </c>
      <c r="D13" s="386">
        <f>ESTADO_DE_RESULTADOS!C7</f>
        <v>0</v>
      </c>
      <c r="E13" s="386">
        <f>ESTADO_DE_RESULTADOS!D7</f>
        <v>0</v>
      </c>
      <c r="F13" s="386">
        <f>ESTADO_DE_RESULTADOS!E7</f>
        <v>0</v>
      </c>
      <c r="G13" s="386">
        <f>ESTADO_DE_RESULTADOS!F7</f>
        <v>0</v>
      </c>
      <c r="N13" s="385" t="s">
        <v>1219</v>
      </c>
      <c r="O13" s="389" t="e">
        <f>C37</f>
        <v>#N/A</v>
      </c>
      <c r="P13" s="391"/>
      <c r="Q13" s="391"/>
      <c r="R13" s="391"/>
      <c r="S13" s="391"/>
      <c r="T13" s="391"/>
      <c r="U13" s="389"/>
      <c r="V13" s="391"/>
      <c r="W13" s="391"/>
      <c r="X13" s="391"/>
      <c r="Y13" s="391"/>
      <c r="Z13" s="391"/>
    </row>
    <row r="14" spans="2:26" x14ac:dyDescent="0.25">
      <c r="B14" s="396" t="s">
        <v>1111</v>
      </c>
      <c r="C14" s="386">
        <f>ESTADO_DE_RESULTADOS!B8</f>
        <v>0</v>
      </c>
      <c r="D14" s="386">
        <f>ESTADO_DE_RESULTADOS!C8</f>
        <v>0</v>
      </c>
      <c r="E14" s="386">
        <f>ESTADO_DE_RESULTADOS!D8</f>
        <v>0</v>
      </c>
      <c r="F14" s="386">
        <f>ESTADO_DE_RESULTADOS!E8</f>
        <v>0</v>
      </c>
      <c r="G14" s="386">
        <f>ESTADO_DE_RESULTADOS!F8</f>
        <v>0</v>
      </c>
      <c r="N14" s="385" t="s">
        <v>1141</v>
      </c>
      <c r="O14" s="389" t="e">
        <f>C46</f>
        <v>#N/A</v>
      </c>
      <c r="P14" s="391"/>
      <c r="Q14" s="391"/>
      <c r="R14" s="391"/>
      <c r="S14" s="391"/>
      <c r="T14" s="391"/>
      <c r="U14" s="389"/>
      <c r="V14" s="391"/>
      <c r="W14" s="391"/>
      <c r="X14" s="391"/>
      <c r="Y14" s="391"/>
      <c r="Z14" s="391"/>
    </row>
    <row r="15" spans="2:26" x14ac:dyDescent="0.25">
      <c r="B15" s="398" t="s">
        <v>1112</v>
      </c>
      <c r="C15" s="399" t="e">
        <f>C10-C11-C12-C13-C14</f>
        <v>#N/A</v>
      </c>
      <c r="D15" s="399" t="e">
        <f t="shared" ref="D15:G15" si="0">D10-D11-D12-D13-D14</f>
        <v>#N/A</v>
      </c>
      <c r="E15" s="399" t="e">
        <f t="shared" si="0"/>
        <v>#N/A</v>
      </c>
      <c r="F15" s="399" t="e">
        <f t="shared" si="0"/>
        <v>#N/A</v>
      </c>
      <c r="G15" s="399" t="e">
        <f t="shared" si="0"/>
        <v>#N/A</v>
      </c>
      <c r="N15" s="385" t="s">
        <v>1178</v>
      </c>
      <c r="O15" s="389" t="e">
        <f>D77</f>
        <v>#N/A</v>
      </c>
      <c r="P15" s="391"/>
      <c r="Q15" s="391"/>
      <c r="R15" s="391"/>
      <c r="S15" s="391"/>
      <c r="T15" s="391"/>
      <c r="U15" s="389"/>
      <c r="V15" s="391"/>
      <c r="W15" s="391"/>
      <c r="X15" s="391"/>
      <c r="Y15" s="391"/>
      <c r="Z15" s="391"/>
    </row>
    <row r="16" spans="2:26" x14ac:dyDescent="0.25">
      <c r="B16" s="396" t="s">
        <v>1113</v>
      </c>
      <c r="C16" s="386">
        <f>ESTADO_DE_RESULTADOS!B10</f>
        <v>0</v>
      </c>
      <c r="D16" s="386">
        <f>ESTADO_DE_RESULTADOS!C10</f>
        <v>0</v>
      </c>
      <c r="E16" s="386">
        <f>ESTADO_DE_RESULTADOS!D10</f>
        <v>0</v>
      </c>
      <c r="F16" s="386">
        <f>ESTADO_DE_RESULTADOS!E10</f>
        <v>0</v>
      </c>
      <c r="G16" s="386">
        <f>ESTADO_DE_RESULTADOS!F10</f>
        <v>0</v>
      </c>
      <c r="N16" s="385" t="s">
        <v>1220</v>
      </c>
      <c r="O16" s="389" t="e">
        <f>C79</f>
        <v>#N/A</v>
      </c>
      <c r="P16" s="391"/>
      <c r="Q16" s="391"/>
      <c r="R16" s="391"/>
      <c r="S16" s="391"/>
      <c r="T16" s="391"/>
      <c r="U16" s="389"/>
      <c r="V16" s="391"/>
      <c r="W16" s="391"/>
      <c r="X16" s="391"/>
      <c r="Y16" s="391"/>
      <c r="Z16" s="391"/>
    </row>
    <row r="17" spans="2:26" x14ac:dyDescent="0.25">
      <c r="B17" s="396" t="s">
        <v>1115</v>
      </c>
      <c r="C17" s="386">
        <f>ESTADO_DE_RESULTADOS!B11</f>
        <v>0</v>
      </c>
      <c r="D17" s="386">
        <f>ESTADO_DE_RESULTADOS!C11</f>
        <v>0</v>
      </c>
      <c r="E17" s="386">
        <f>ESTADO_DE_RESULTADOS!D11</f>
        <v>0</v>
      </c>
      <c r="F17" s="386">
        <f>ESTADO_DE_RESULTADOS!E11</f>
        <v>0</v>
      </c>
      <c r="G17" s="386">
        <f>ESTADO_DE_RESULTADOS!F11</f>
        <v>0</v>
      </c>
    </row>
    <row r="18" spans="2:26" x14ac:dyDescent="0.25">
      <c r="B18" s="396" t="s">
        <v>1117</v>
      </c>
      <c r="C18" s="386">
        <f>ESTADO_DE_RESULTADOS!B12</f>
        <v>0</v>
      </c>
      <c r="D18" s="386">
        <f>ESTADO_DE_RESULTADOS!C12</f>
        <v>0</v>
      </c>
      <c r="E18" s="386">
        <f>ESTADO_DE_RESULTADOS!D12</f>
        <v>0</v>
      </c>
      <c r="F18" s="386">
        <f>ESTADO_DE_RESULTADOS!E12</f>
        <v>0</v>
      </c>
      <c r="G18" s="386">
        <f>ESTADO_DE_RESULTADOS!F12</f>
        <v>0</v>
      </c>
    </row>
    <row r="19" spans="2:26" x14ac:dyDescent="0.25">
      <c r="B19" s="396" t="s">
        <v>1119</v>
      </c>
      <c r="C19" s="386" t="e">
        <f>ESTADO_DE_RESULTADOS!B13</f>
        <v>#N/A</v>
      </c>
      <c r="D19" s="386" t="e">
        <f>ESTADO_DE_RESULTADOS!C13</f>
        <v>#N/A</v>
      </c>
      <c r="E19" s="386" t="e">
        <f>ESTADO_DE_RESULTADOS!D13</f>
        <v>#N/A</v>
      </c>
      <c r="F19" s="386" t="e">
        <f>ESTADO_DE_RESULTADOS!E13</f>
        <v>#N/A</v>
      </c>
      <c r="G19" s="386" t="e">
        <f>ESTADO_DE_RESULTADOS!F13</f>
        <v>#N/A</v>
      </c>
      <c r="P19" s="776" t="s">
        <v>1221</v>
      </c>
      <c r="Q19" s="776"/>
      <c r="R19" s="776"/>
      <c r="S19" s="776"/>
      <c r="T19" s="776"/>
      <c r="U19" s="776"/>
      <c r="V19" s="776"/>
      <c r="W19" s="776"/>
      <c r="X19" s="776"/>
      <c r="Y19" s="776"/>
      <c r="Z19" s="776"/>
    </row>
    <row r="20" spans="2:26" x14ac:dyDescent="0.25">
      <c r="B20" s="396" t="s">
        <v>1121</v>
      </c>
      <c r="C20" s="386" t="e">
        <f>ESTADO_DE_RESULTADOS!B14</f>
        <v>#N/A</v>
      </c>
      <c r="D20" s="386" t="e">
        <f>ESTADO_DE_RESULTADOS!C14</f>
        <v>#N/A</v>
      </c>
      <c r="E20" s="386" t="e">
        <f>ESTADO_DE_RESULTADOS!D14</f>
        <v>#N/A</v>
      </c>
      <c r="F20" s="386" t="e">
        <f>ESTADO_DE_RESULTADOS!E14</f>
        <v>#N/A</v>
      </c>
      <c r="G20" s="386" t="e">
        <f>ESTADO_DE_RESULTADOS!F14</f>
        <v>#N/A</v>
      </c>
      <c r="P20" s="785" t="s">
        <v>1216</v>
      </c>
      <c r="Q20" s="785"/>
      <c r="R20" s="785"/>
      <c r="S20" s="785"/>
      <c r="T20" s="785"/>
      <c r="U20" s="785"/>
      <c r="V20" s="785"/>
      <c r="W20" s="785"/>
      <c r="X20" s="785"/>
      <c r="Y20" s="785"/>
      <c r="Z20" s="785"/>
    </row>
    <row r="21" spans="2:26" x14ac:dyDescent="0.25">
      <c r="B21" s="454" t="s">
        <v>1123</v>
      </c>
      <c r="C21" s="453">
        <f>ESTADO_DE_RESULTADOS!B15</f>
        <v>0</v>
      </c>
      <c r="D21" s="453">
        <f>ESTADO_DE_RESULTADOS!C15</f>
        <v>0</v>
      </c>
      <c r="E21" s="453">
        <f>ESTADO_DE_RESULTADOS!D15</f>
        <v>0</v>
      </c>
      <c r="F21" s="453">
        <f>ESTADO_DE_RESULTADOS!E15</f>
        <v>0</v>
      </c>
      <c r="G21" s="453">
        <f>ESTADO_DE_RESULTADOS!F15</f>
        <v>0</v>
      </c>
    </row>
    <row r="22" spans="2:26" x14ac:dyDescent="0.25">
      <c r="B22" s="398" t="s">
        <v>1124</v>
      </c>
      <c r="C22" s="399" t="e">
        <f>C15-SUM(C16:C21)</f>
        <v>#N/A</v>
      </c>
      <c r="D22" s="399" t="e">
        <f t="shared" ref="D22:G22" si="1">D15-SUM(D16:D21)</f>
        <v>#N/A</v>
      </c>
      <c r="E22" s="399" t="e">
        <f t="shared" si="1"/>
        <v>#N/A</v>
      </c>
      <c r="F22" s="399" t="e">
        <f t="shared" si="1"/>
        <v>#N/A</v>
      </c>
      <c r="G22" s="399" t="e">
        <f t="shared" si="1"/>
        <v>#N/A</v>
      </c>
      <c r="N22" s="382"/>
      <c r="O22" s="382"/>
      <c r="P22" s="384">
        <v>-0.1</v>
      </c>
      <c r="Q22" s="384">
        <v>-0.08</v>
      </c>
      <c r="R22" s="384">
        <v>-0.06</v>
      </c>
      <c r="S22" s="384">
        <v>-0.04</v>
      </c>
      <c r="T22" s="384">
        <v>-0.02</v>
      </c>
      <c r="U22" s="384">
        <v>0</v>
      </c>
      <c r="V22" s="384">
        <v>0.02</v>
      </c>
      <c r="W22" s="384">
        <v>0.04</v>
      </c>
      <c r="X22" s="384">
        <v>0.06</v>
      </c>
      <c r="Y22" s="384">
        <v>0.08</v>
      </c>
      <c r="Z22" s="384">
        <v>0.1</v>
      </c>
    </row>
    <row r="23" spans="2:26" x14ac:dyDescent="0.25">
      <c r="B23" s="400" t="s">
        <v>1125</v>
      </c>
      <c r="C23" s="386">
        <f>ESTADO_DE_RESULTADOS!B17</f>
        <v>0</v>
      </c>
      <c r="D23" s="386">
        <f>ESTADO_DE_RESULTADOS!C17</f>
        <v>0</v>
      </c>
      <c r="E23" s="386">
        <f>ESTADO_DE_RESULTADOS!D17</f>
        <v>0</v>
      </c>
      <c r="F23" s="386">
        <f>ESTADO_DE_RESULTADOS!E17</f>
        <v>0</v>
      </c>
      <c r="G23" s="386">
        <f>ESTADO_DE_RESULTADOS!F17</f>
        <v>0</v>
      </c>
      <c r="N23" s="385" t="s">
        <v>1107</v>
      </c>
      <c r="O23" s="387" t="e">
        <f>D10</f>
        <v>#N/A</v>
      </c>
      <c r="P23" s="388"/>
      <c r="Q23" s="388"/>
      <c r="R23" s="388"/>
      <c r="S23" s="388"/>
      <c r="T23" s="388"/>
      <c r="U23" s="401"/>
      <c r="V23" s="388"/>
      <c r="W23" s="388"/>
      <c r="X23" s="388"/>
      <c r="Y23" s="388"/>
      <c r="Z23" s="388"/>
    </row>
    <row r="24" spans="2:26" x14ac:dyDescent="0.25">
      <c r="B24" s="400" t="s">
        <v>1126</v>
      </c>
      <c r="C24" s="386" t="e">
        <f>ESTADO_DE_RESULTADOS!B18</f>
        <v>#N/A</v>
      </c>
      <c r="D24" s="386" t="e">
        <f>ESTADO_DE_RESULTADOS!C18</f>
        <v>#N/A</v>
      </c>
      <c r="E24" s="386" t="e">
        <f>ESTADO_DE_RESULTADOS!D18</f>
        <v>#N/A</v>
      </c>
      <c r="F24" s="386" t="e">
        <f>ESTADO_DE_RESULTADOS!E18</f>
        <v>#N/A</v>
      </c>
      <c r="G24" s="386" t="e">
        <f>ESTADO_DE_RESULTADOS!F18</f>
        <v>#N/A</v>
      </c>
      <c r="N24" s="385" t="s">
        <v>1112</v>
      </c>
      <c r="O24" s="387" t="e">
        <f>D15</f>
        <v>#N/A</v>
      </c>
      <c r="P24" s="388"/>
      <c r="Q24" s="388"/>
      <c r="R24" s="388"/>
      <c r="S24" s="388"/>
      <c r="T24" s="388"/>
      <c r="U24" s="401"/>
      <c r="V24" s="388"/>
      <c r="W24" s="388"/>
      <c r="X24" s="388"/>
      <c r="Y24" s="388"/>
      <c r="Z24" s="388"/>
    </row>
    <row r="25" spans="2:26" x14ac:dyDescent="0.25">
      <c r="B25" s="400" t="s">
        <v>1127</v>
      </c>
      <c r="C25" s="386" t="e">
        <f>ESTADO_DE_RESULTADOS!B19</f>
        <v>#N/A</v>
      </c>
      <c r="D25" s="386" t="e">
        <f>ESTADO_DE_RESULTADOS!C19</f>
        <v>#N/A</v>
      </c>
      <c r="E25" s="386" t="e">
        <f>ESTADO_DE_RESULTADOS!D19</f>
        <v>#N/A</v>
      </c>
      <c r="F25" s="386" t="e">
        <f>ESTADO_DE_RESULTADOS!E19</f>
        <v>#N/A</v>
      </c>
      <c r="G25" s="386" t="e">
        <f>ESTADO_DE_RESULTADOS!F19</f>
        <v>#N/A</v>
      </c>
      <c r="N25" s="385" t="s">
        <v>1124</v>
      </c>
      <c r="O25" s="387" t="e">
        <f>D22</f>
        <v>#N/A</v>
      </c>
      <c r="P25" s="388"/>
      <c r="Q25" s="388"/>
      <c r="R25" s="388"/>
      <c r="S25" s="388"/>
      <c r="T25" s="388"/>
      <c r="U25" s="401"/>
      <c r="V25" s="388"/>
      <c r="W25" s="388"/>
      <c r="X25" s="388"/>
      <c r="Y25" s="388"/>
      <c r="Z25" s="388"/>
    </row>
    <row r="26" spans="2:26" x14ac:dyDescent="0.25">
      <c r="B26" s="400" t="s">
        <v>1128</v>
      </c>
      <c r="C26" s="386" t="e">
        <f>C23+C24+C25</f>
        <v>#N/A</v>
      </c>
      <c r="D26" s="386" t="e">
        <f t="shared" ref="D26:G26" si="2">D23+D24+D25</f>
        <v>#N/A</v>
      </c>
      <c r="E26" s="386" t="e">
        <f t="shared" si="2"/>
        <v>#N/A</v>
      </c>
      <c r="F26" s="386" t="e">
        <f t="shared" si="2"/>
        <v>#N/A</v>
      </c>
      <c r="G26" s="386" t="e">
        <f t="shared" si="2"/>
        <v>#N/A</v>
      </c>
      <c r="N26" s="385" t="s">
        <v>1218</v>
      </c>
      <c r="O26" s="387" t="e">
        <f>D33</f>
        <v>#N/A</v>
      </c>
      <c r="P26" s="388"/>
      <c r="Q26" s="388"/>
      <c r="R26" s="388"/>
      <c r="S26" s="388"/>
      <c r="T26" s="388"/>
      <c r="U26" s="401"/>
      <c r="V26" s="388"/>
      <c r="W26" s="388"/>
      <c r="X26" s="388"/>
      <c r="Y26" s="388"/>
      <c r="Z26" s="388"/>
    </row>
    <row r="27" spans="2:26" x14ac:dyDescent="0.25">
      <c r="B27" s="452" t="s">
        <v>1129</v>
      </c>
      <c r="C27" s="453">
        <f>ESTADO_DE_RESULTADOS!B21</f>
        <v>0</v>
      </c>
      <c r="D27" s="453">
        <f>ESTADO_DE_RESULTADOS!C21</f>
        <v>0</v>
      </c>
      <c r="E27" s="453">
        <f>ESTADO_DE_RESULTADOS!D21</f>
        <v>0</v>
      </c>
      <c r="F27" s="453">
        <f>ESTADO_DE_RESULTADOS!E21</f>
        <v>0</v>
      </c>
      <c r="G27" s="453">
        <f>ESTADO_DE_RESULTADOS!F21</f>
        <v>0</v>
      </c>
      <c r="N27" s="381"/>
      <c r="O27" s="388"/>
      <c r="P27" s="388"/>
      <c r="Q27" s="388"/>
      <c r="R27" s="388"/>
      <c r="S27" s="388"/>
      <c r="T27" s="388"/>
      <c r="U27" s="401"/>
      <c r="V27" s="388"/>
      <c r="W27" s="388"/>
      <c r="X27" s="388"/>
      <c r="Y27" s="388"/>
      <c r="Z27" s="388"/>
    </row>
    <row r="28" spans="2:26" x14ac:dyDescent="0.25">
      <c r="B28" s="452" t="s">
        <v>1130</v>
      </c>
      <c r="C28" s="453">
        <f>ESTADO_DE_RESULTADOS!B22</f>
        <v>0</v>
      </c>
      <c r="D28" s="453">
        <f>ESTADO_DE_RESULTADOS!C22</f>
        <v>0</v>
      </c>
      <c r="E28" s="453">
        <f>ESTADO_DE_RESULTADOS!D22</f>
        <v>0</v>
      </c>
      <c r="F28" s="453">
        <f>ESTADO_DE_RESULTADOS!E22</f>
        <v>0</v>
      </c>
      <c r="G28" s="453">
        <f>ESTADO_DE_RESULTADOS!F22</f>
        <v>0</v>
      </c>
      <c r="N28" s="381"/>
      <c r="O28" s="388"/>
      <c r="P28" s="388"/>
      <c r="Q28" s="388"/>
      <c r="R28" s="388"/>
      <c r="S28" s="388"/>
      <c r="T28" s="388"/>
      <c r="U28" s="401"/>
      <c r="V28" s="388"/>
      <c r="W28" s="388"/>
      <c r="X28" s="388"/>
      <c r="Y28" s="388"/>
      <c r="Z28" s="388"/>
    </row>
    <row r="29" spans="2:26" x14ac:dyDescent="0.25">
      <c r="B29" s="452" t="s">
        <v>1131</v>
      </c>
      <c r="C29" s="453">
        <f>ESTADO_DE_RESULTADOS!B23</f>
        <v>0</v>
      </c>
      <c r="D29" s="453">
        <f>ESTADO_DE_RESULTADOS!C23</f>
        <v>0</v>
      </c>
      <c r="E29" s="453">
        <f>ESTADO_DE_RESULTADOS!D23</f>
        <v>0</v>
      </c>
      <c r="F29" s="453">
        <f>ESTADO_DE_RESULTADOS!E23</f>
        <v>0</v>
      </c>
      <c r="G29" s="453">
        <f>ESTADO_DE_RESULTADOS!F23</f>
        <v>0</v>
      </c>
      <c r="N29" s="381"/>
      <c r="O29" s="388"/>
      <c r="P29" s="388"/>
      <c r="Q29" s="388"/>
      <c r="R29" s="388"/>
      <c r="S29" s="388"/>
      <c r="T29" s="388"/>
      <c r="U29" s="401"/>
      <c r="V29" s="388"/>
      <c r="W29" s="388"/>
      <c r="X29" s="388"/>
      <c r="Y29" s="388"/>
      <c r="Z29" s="388"/>
    </row>
    <row r="30" spans="2:26" x14ac:dyDescent="0.25">
      <c r="B30" s="452" t="s">
        <v>1132</v>
      </c>
      <c r="C30" s="453">
        <f>ESTADO_DE_RESULTADOS!B24</f>
        <v>0</v>
      </c>
      <c r="D30" s="453">
        <f>ESTADO_DE_RESULTADOS!C24</f>
        <v>0</v>
      </c>
      <c r="E30" s="453">
        <f>ESTADO_DE_RESULTADOS!D24</f>
        <v>0</v>
      </c>
      <c r="F30" s="453">
        <f>ESTADO_DE_RESULTADOS!E24</f>
        <v>0</v>
      </c>
      <c r="G30" s="453">
        <f>ESTADO_DE_RESULTADOS!F24</f>
        <v>0</v>
      </c>
      <c r="N30" s="381"/>
      <c r="O30" s="388"/>
      <c r="P30" s="388"/>
      <c r="Q30" s="388"/>
      <c r="R30" s="388"/>
      <c r="S30" s="388"/>
      <c r="T30" s="388"/>
      <c r="U30" s="401"/>
      <c r="V30" s="388"/>
      <c r="W30" s="388"/>
      <c r="X30" s="388"/>
      <c r="Y30" s="388"/>
      <c r="Z30" s="388"/>
    </row>
    <row r="31" spans="2:26" x14ac:dyDescent="0.25">
      <c r="B31" s="452" t="s">
        <v>1133</v>
      </c>
      <c r="C31" s="453">
        <f>ESTADO_DE_RESULTADOS!B25</f>
        <v>0</v>
      </c>
      <c r="D31" s="453">
        <f>ESTADO_DE_RESULTADOS!C25</f>
        <v>0</v>
      </c>
      <c r="E31" s="453">
        <f>ESTADO_DE_RESULTADOS!D25</f>
        <v>0</v>
      </c>
      <c r="F31" s="453">
        <f>ESTADO_DE_RESULTADOS!E25</f>
        <v>0</v>
      </c>
      <c r="G31" s="453">
        <f>ESTADO_DE_RESULTADOS!F25</f>
        <v>0</v>
      </c>
      <c r="N31" s="381"/>
      <c r="O31" s="388"/>
      <c r="P31" s="388"/>
      <c r="Q31" s="388"/>
      <c r="R31" s="388"/>
      <c r="S31" s="388"/>
      <c r="T31" s="388"/>
      <c r="U31" s="401"/>
      <c r="V31" s="388"/>
      <c r="W31" s="388"/>
      <c r="X31" s="388"/>
      <c r="Y31" s="388"/>
      <c r="Z31" s="388"/>
    </row>
    <row r="32" spans="2:26" x14ac:dyDescent="0.25">
      <c r="B32" s="454" t="s">
        <v>1134</v>
      </c>
      <c r="C32" s="453">
        <f>C27+C28+C29+C30+C31</f>
        <v>0</v>
      </c>
      <c r="D32" s="453">
        <f t="shared" ref="D32:G32" si="3">D27+D28+D29+D30+D31</f>
        <v>0</v>
      </c>
      <c r="E32" s="453">
        <f t="shared" si="3"/>
        <v>0</v>
      </c>
      <c r="F32" s="453">
        <f t="shared" si="3"/>
        <v>0</v>
      </c>
      <c r="G32" s="453">
        <f t="shared" si="3"/>
        <v>0</v>
      </c>
      <c r="N32" s="381"/>
      <c r="O32" s="388"/>
      <c r="P32" s="388"/>
      <c r="Q32" s="388"/>
      <c r="R32" s="388"/>
      <c r="S32" s="388"/>
      <c r="T32" s="388"/>
      <c r="U32" s="401"/>
      <c r="V32" s="388"/>
      <c r="W32" s="388"/>
      <c r="X32" s="388"/>
      <c r="Y32" s="388"/>
      <c r="Z32" s="388"/>
    </row>
    <row r="33" spans="2:26" x14ac:dyDescent="0.25">
      <c r="B33" s="398" t="s">
        <v>1218</v>
      </c>
      <c r="C33" s="399" t="e">
        <f>C22+C26+C32</f>
        <v>#N/A</v>
      </c>
      <c r="D33" s="399" t="e">
        <f t="shared" ref="D33:G33" si="4">D22+D26+D32</f>
        <v>#N/A</v>
      </c>
      <c r="E33" s="399" t="e">
        <f t="shared" si="4"/>
        <v>#N/A</v>
      </c>
      <c r="F33" s="399" t="e">
        <f t="shared" si="4"/>
        <v>#N/A</v>
      </c>
      <c r="G33" s="399" t="e">
        <f t="shared" si="4"/>
        <v>#N/A</v>
      </c>
      <c r="N33" s="385" t="s">
        <v>1219</v>
      </c>
      <c r="O33" s="387" t="e">
        <f>D37</f>
        <v>#N/A</v>
      </c>
      <c r="P33" s="388"/>
      <c r="Q33" s="388"/>
      <c r="R33" s="388"/>
      <c r="S33" s="388"/>
      <c r="T33" s="388"/>
      <c r="U33" s="401"/>
      <c r="V33" s="388"/>
      <c r="W33" s="388"/>
      <c r="X33" s="388"/>
      <c r="Y33" s="388"/>
      <c r="Z33" s="388"/>
    </row>
    <row r="34" spans="2:26" x14ac:dyDescent="0.25">
      <c r="B34" s="396" t="s">
        <v>1136</v>
      </c>
      <c r="C34" s="386" t="e">
        <f>IF(C33*BASES!D17&lt;0,0,ANALISIS_DE_SENSIBILIDAD!C33*BASES!D17)</f>
        <v>#N/A</v>
      </c>
      <c r="D34" s="386" t="e">
        <f>IF(D33*BASES!E17&lt;0,0,ANALISIS_DE_SENSIBILIDAD!D33*BASES!E17)</f>
        <v>#N/A</v>
      </c>
      <c r="E34" s="386" t="e">
        <f>IF(E33*BASES!F17&lt;0,0,ANALISIS_DE_SENSIBILIDAD!E33*BASES!F17)</f>
        <v>#N/A</v>
      </c>
      <c r="F34" s="386" t="e">
        <f>IF(F33*BASES!G17&lt;0,0,ANALISIS_DE_SENSIBILIDAD!F33*BASES!G17)</f>
        <v>#N/A</v>
      </c>
      <c r="G34" s="386" t="e">
        <f>IF(G33*BASES!H17&lt;0,0,ANALISIS_DE_SENSIBILIDAD!G33*BASES!H17)</f>
        <v>#N/A</v>
      </c>
      <c r="N34" s="385" t="s">
        <v>1141</v>
      </c>
      <c r="O34" s="387" t="e">
        <f>D46</f>
        <v>#N/A</v>
      </c>
      <c r="P34" s="388"/>
      <c r="Q34" s="388"/>
      <c r="R34" s="388"/>
      <c r="S34" s="388"/>
      <c r="T34" s="388"/>
      <c r="U34" s="401"/>
      <c r="V34" s="388"/>
      <c r="W34" s="388"/>
      <c r="X34" s="388"/>
      <c r="Y34" s="388"/>
      <c r="Z34" s="388"/>
    </row>
    <row r="35" spans="2:26" x14ac:dyDescent="0.25">
      <c r="B35" s="396" t="s">
        <v>1137</v>
      </c>
      <c r="C35" s="386" t="e">
        <f>IF(C33*ESTADO_DE_RESULTADOS!$I$10=0,0,ANALISIS_DE_SENSIBILIDAD!C33*ESTADO_DE_RESULTADOS!$I$10)</f>
        <v>#N/A</v>
      </c>
      <c r="D35" s="386" t="e">
        <f>IF(D33*ESTADO_DE_RESULTADOS!$I$10=0,0,ANALISIS_DE_SENSIBILIDAD!D33*ESTADO_DE_RESULTADOS!$I$10)</f>
        <v>#N/A</v>
      </c>
      <c r="E35" s="386" t="e">
        <f>IF(E33*ESTADO_DE_RESULTADOS!$I$10=0,0,ANALISIS_DE_SENSIBILIDAD!E33*ESTADO_DE_RESULTADOS!$I$10)</f>
        <v>#N/A</v>
      </c>
      <c r="F35" s="386" t="e">
        <f>IF(F33*ESTADO_DE_RESULTADOS!$I$10=0,0,ANALISIS_DE_SENSIBILIDAD!F33*ESTADO_DE_RESULTADOS!$I$10)</f>
        <v>#N/A</v>
      </c>
      <c r="G35" s="386" t="e">
        <f>IF(G33*ESTADO_DE_RESULTADOS!$I$10=0,0,ANALISIS_DE_SENSIBILIDAD!G33*ESTADO_DE_RESULTADOS!$I$10)</f>
        <v>#N/A</v>
      </c>
      <c r="N35" s="385" t="s">
        <v>1178</v>
      </c>
      <c r="O35" s="387" t="e">
        <f>E77</f>
        <v>#N/A</v>
      </c>
      <c r="P35" s="388"/>
      <c r="Q35" s="388"/>
      <c r="R35" s="388"/>
      <c r="S35" s="388"/>
      <c r="T35" s="388"/>
      <c r="U35" s="401"/>
      <c r="V35" s="388"/>
      <c r="W35" s="388"/>
      <c r="X35" s="388"/>
      <c r="Y35" s="388"/>
      <c r="Z35" s="388"/>
    </row>
    <row r="36" spans="2:26" x14ac:dyDescent="0.25">
      <c r="B36" s="396" t="s">
        <v>1138</v>
      </c>
      <c r="C36" s="386" t="e">
        <f>IF(C33*ESTADO_DE_RESULTADOS!$I$11&lt;0,0,ANALISIS_DE_SENSIBILIDAD!C33*ESTADO_DE_RESULTADOS!$I$11)</f>
        <v>#N/A</v>
      </c>
      <c r="D36" s="386" t="e">
        <f>IF(D33*ESTADO_DE_RESULTADOS!$I$11&lt;0,0,ANALISIS_DE_SENSIBILIDAD!D33*ESTADO_DE_RESULTADOS!$I$11)</f>
        <v>#N/A</v>
      </c>
      <c r="E36" s="386" t="e">
        <f>IF(E33*ESTADO_DE_RESULTADOS!$I$11&lt;0,0,ANALISIS_DE_SENSIBILIDAD!E33*ESTADO_DE_RESULTADOS!$I$11)</f>
        <v>#N/A</v>
      </c>
      <c r="F36" s="386" t="e">
        <f>IF(F33*ESTADO_DE_RESULTADOS!$I$11&lt;0,0,ANALISIS_DE_SENSIBILIDAD!F33*ESTADO_DE_RESULTADOS!$I$11)</f>
        <v>#N/A</v>
      </c>
      <c r="G36" s="386" t="e">
        <f>IF(G33*ESTADO_DE_RESULTADOS!$I$11&lt;0,0,ANALISIS_DE_SENSIBILIDAD!G33*ESTADO_DE_RESULTADOS!$I$11)</f>
        <v>#N/A</v>
      </c>
      <c r="N36" s="385" t="s">
        <v>1220</v>
      </c>
      <c r="O36" s="387" t="e">
        <f>C79</f>
        <v>#N/A</v>
      </c>
      <c r="P36" s="388"/>
      <c r="Q36" s="388"/>
      <c r="R36" s="388"/>
      <c r="S36" s="388"/>
      <c r="T36" s="388"/>
      <c r="U36" s="401"/>
      <c r="V36" s="388"/>
      <c r="W36" s="388"/>
      <c r="X36" s="388"/>
      <c r="Y36" s="388"/>
      <c r="Z36" s="388"/>
    </row>
    <row r="37" spans="2:26" ht="16.5" thickBot="1" x14ac:dyDescent="0.3">
      <c r="B37" s="402" t="s">
        <v>1139</v>
      </c>
      <c r="C37" s="399" t="e">
        <f>C33-C34-C35-C36</f>
        <v>#N/A</v>
      </c>
      <c r="D37" s="399" t="e">
        <f t="shared" ref="D37:G37" si="5">D33-D34-D35-D36</f>
        <v>#N/A</v>
      </c>
      <c r="E37" s="399" t="e">
        <f t="shared" si="5"/>
        <v>#N/A</v>
      </c>
      <c r="F37" s="399" t="e">
        <f t="shared" si="5"/>
        <v>#N/A</v>
      </c>
      <c r="G37" s="399" t="e">
        <f t="shared" si="5"/>
        <v>#N/A</v>
      </c>
    </row>
    <row r="40" spans="2:26" ht="31.5" customHeight="1" x14ac:dyDescent="0.25">
      <c r="B40" s="403" t="s">
        <v>1222</v>
      </c>
      <c r="C40" s="404" t="str">
        <f>FLUJO_DE_CAJA!B6</f>
        <v>AÑO 1</v>
      </c>
      <c r="D40" s="404" t="str">
        <f>FLUJO_DE_CAJA!C6</f>
        <v>AÑO 2</v>
      </c>
      <c r="E40" s="404" t="str">
        <f>FLUJO_DE_CAJA!D6</f>
        <v>AÑO 3</v>
      </c>
      <c r="F40" s="404" t="str">
        <f>FLUJO_DE_CAJA!E6</f>
        <v>AÑO 4</v>
      </c>
      <c r="G40" s="404" t="str">
        <f>FLUJO_DE_CAJA!F6</f>
        <v>AÑO 5</v>
      </c>
      <c r="P40" s="786" t="s">
        <v>1223</v>
      </c>
      <c r="Q40" s="786"/>
      <c r="R40" s="786"/>
      <c r="S40" s="786"/>
      <c r="T40" s="786"/>
      <c r="U40" s="786"/>
      <c r="V40" s="786"/>
      <c r="W40" s="786"/>
      <c r="X40" s="786"/>
      <c r="Y40" s="786"/>
      <c r="Z40" s="786"/>
    </row>
    <row r="41" spans="2:26" x14ac:dyDescent="0.25">
      <c r="B41" s="405" t="s">
        <v>1142</v>
      </c>
      <c r="C41" s="386" t="e">
        <f>C22</f>
        <v>#N/A</v>
      </c>
      <c r="D41" s="386" t="e">
        <f>D22</f>
        <v>#N/A</v>
      </c>
      <c r="E41" s="386" t="e">
        <f>E22</f>
        <v>#N/A</v>
      </c>
      <c r="F41" s="386" t="e">
        <f>F22</f>
        <v>#N/A</v>
      </c>
      <c r="G41" s="386" t="e">
        <f>G22</f>
        <v>#N/A</v>
      </c>
      <c r="P41" s="784" t="s">
        <v>1216</v>
      </c>
      <c r="Q41" s="784"/>
      <c r="R41" s="784"/>
      <c r="S41" s="784"/>
      <c r="T41" s="784"/>
      <c r="U41" s="784"/>
      <c r="V41" s="784"/>
      <c r="W41" s="784"/>
      <c r="X41" s="784"/>
      <c r="Y41" s="784"/>
      <c r="Z41" s="784"/>
    </row>
    <row r="42" spans="2:26" x14ac:dyDescent="0.25">
      <c r="B42" s="405" t="s">
        <v>1143</v>
      </c>
      <c r="C42" s="386">
        <f>FLUJO_DE_CAJA!B9</f>
        <v>0</v>
      </c>
      <c r="D42" s="386">
        <f>FLUJO_DE_CAJA!C9</f>
        <v>0</v>
      </c>
      <c r="E42" s="386">
        <f>FLUJO_DE_CAJA!D9</f>
        <v>0</v>
      </c>
      <c r="F42" s="386">
        <f>FLUJO_DE_CAJA!E9</f>
        <v>0</v>
      </c>
      <c r="G42" s="386">
        <f>FLUJO_DE_CAJA!F9</f>
        <v>0</v>
      </c>
      <c r="N42" s="383"/>
      <c r="O42" s="383"/>
      <c r="P42" s="376">
        <v>-0.1</v>
      </c>
      <c r="Q42" s="376">
        <v>-0.08</v>
      </c>
      <c r="R42" s="376">
        <v>-0.06</v>
      </c>
      <c r="S42" s="376">
        <v>-0.04</v>
      </c>
      <c r="T42" s="376">
        <v>-0.02</v>
      </c>
      <c r="U42" s="376">
        <v>0</v>
      </c>
      <c r="V42" s="376">
        <v>0.02</v>
      </c>
      <c r="W42" s="376">
        <v>0.04</v>
      </c>
      <c r="X42" s="376">
        <v>0.06</v>
      </c>
      <c r="Y42" s="376">
        <v>0.08</v>
      </c>
      <c r="Z42" s="376">
        <v>0.1</v>
      </c>
    </row>
    <row r="43" spans="2:26" x14ac:dyDescent="0.25">
      <c r="B43" s="405" t="s">
        <v>1144</v>
      </c>
      <c r="C43" s="386">
        <f>FLUJO_DE_CAJA!B10</f>
        <v>0</v>
      </c>
      <c r="D43" s="386">
        <f>FLUJO_DE_CAJA!C10</f>
        <v>0</v>
      </c>
      <c r="E43" s="386">
        <f>FLUJO_DE_CAJA!D10</f>
        <v>0</v>
      </c>
      <c r="F43" s="386">
        <f>FLUJO_DE_CAJA!E10</f>
        <v>0</v>
      </c>
      <c r="G43" s="386">
        <f>FLUJO_DE_CAJA!F10</f>
        <v>0</v>
      </c>
      <c r="N43" s="379" t="s">
        <v>1107</v>
      </c>
      <c r="O43" s="377" t="e">
        <f>E10</f>
        <v>#N/A</v>
      </c>
      <c r="P43" s="393"/>
      <c r="Q43" s="393"/>
      <c r="R43" s="393"/>
      <c r="S43" s="393"/>
      <c r="T43" s="393"/>
      <c r="U43" s="377"/>
      <c r="V43" s="393"/>
      <c r="W43" s="393"/>
      <c r="X43" s="393"/>
      <c r="Y43" s="393"/>
      <c r="Z43" s="393"/>
    </row>
    <row r="44" spans="2:26" x14ac:dyDescent="0.25">
      <c r="B44" s="405" t="s">
        <v>1121</v>
      </c>
      <c r="C44" s="386" t="e">
        <f>C20</f>
        <v>#N/A</v>
      </c>
      <c r="D44" s="386" t="e">
        <f>D20</f>
        <v>#N/A</v>
      </c>
      <c r="E44" s="386" t="e">
        <f>E20</f>
        <v>#N/A</v>
      </c>
      <c r="F44" s="386" t="e">
        <f>F20</f>
        <v>#N/A</v>
      </c>
      <c r="G44" s="386" t="e">
        <f>G20</f>
        <v>#N/A</v>
      </c>
      <c r="N44" s="379" t="s">
        <v>1112</v>
      </c>
      <c r="O44" s="377" t="e">
        <f>E15</f>
        <v>#N/A</v>
      </c>
      <c r="P44" s="393"/>
      <c r="Q44" s="393"/>
      <c r="R44" s="393"/>
      <c r="S44" s="393"/>
      <c r="T44" s="393"/>
      <c r="U44" s="377"/>
      <c r="V44" s="393"/>
      <c r="W44" s="393"/>
      <c r="X44" s="393"/>
      <c r="Y44" s="393"/>
      <c r="Z44" s="393"/>
    </row>
    <row r="45" spans="2:26" x14ac:dyDescent="0.25">
      <c r="B45" s="405" t="s">
        <v>1145</v>
      </c>
      <c r="C45" s="406"/>
      <c r="D45" s="386" t="e">
        <f>C34*-1</f>
        <v>#N/A</v>
      </c>
      <c r="E45" s="386" t="e">
        <f>D34*-1</f>
        <v>#N/A</v>
      </c>
      <c r="F45" s="386" t="e">
        <f>E34*-1</f>
        <v>#N/A</v>
      </c>
      <c r="G45" s="386" t="e">
        <f>F34*-1</f>
        <v>#N/A</v>
      </c>
      <c r="N45" s="379" t="s">
        <v>1217</v>
      </c>
      <c r="O45" s="377" t="e">
        <f>E22</f>
        <v>#N/A</v>
      </c>
      <c r="P45" s="393"/>
      <c r="Q45" s="393"/>
      <c r="R45" s="393"/>
      <c r="S45" s="393"/>
      <c r="T45" s="393"/>
      <c r="U45" s="377"/>
      <c r="V45" s="393"/>
      <c r="W45" s="393"/>
      <c r="X45" s="393"/>
      <c r="Y45" s="393"/>
      <c r="Z45" s="393"/>
    </row>
    <row r="46" spans="2:26" ht="16.5" thickBot="1" x14ac:dyDescent="0.3">
      <c r="B46" s="407" t="s">
        <v>1146</v>
      </c>
      <c r="C46" s="408" t="e">
        <f>SUM(C41:C45)</f>
        <v>#N/A</v>
      </c>
      <c r="D46" s="408" t="e">
        <f t="shared" ref="D46:G46" si="6">SUM(D41:D45)</f>
        <v>#N/A</v>
      </c>
      <c r="E46" s="408" t="e">
        <f t="shared" si="6"/>
        <v>#N/A</v>
      </c>
      <c r="F46" s="408" t="e">
        <f t="shared" si="6"/>
        <v>#N/A</v>
      </c>
      <c r="G46" s="408" t="e">
        <f t="shared" si="6"/>
        <v>#N/A</v>
      </c>
      <c r="N46" s="379" t="s">
        <v>1218</v>
      </c>
      <c r="O46" s="377" t="e">
        <f>E33</f>
        <v>#N/A</v>
      </c>
      <c r="P46" s="393"/>
      <c r="Q46" s="393"/>
      <c r="R46" s="393"/>
      <c r="S46" s="393"/>
      <c r="T46" s="393"/>
      <c r="U46" s="377"/>
      <c r="V46" s="393"/>
      <c r="W46" s="393"/>
      <c r="X46" s="393"/>
      <c r="Y46" s="393"/>
      <c r="Z46" s="393"/>
    </row>
    <row r="47" spans="2:26" x14ac:dyDescent="0.25">
      <c r="N47" s="379" t="s">
        <v>1219</v>
      </c>
      <c r="O47" s="377" t="e">
        <f>E37</f>
        <v>#N/A</v>
      </c>
      <c r="P47" s="393"/>
      <c r="Q47" s="393"/>
      <c r="R47" s="393"/>
      <c r="S47" s="393"/>
      <c r="T47" s="393"/>
      <c r="U47" s="377"/>
      <c r="V47" s="393"/>
      <c r="W47" s="393"/>
      <c r="X47" s="393"/>
      <c r="Y47" s="393"/>
      <c r="Z47" s="393"/>
    </row>
    <row r="48" spans="2:26" x14ac:dyDescent="0.25">
      <c r="B48" s="409" t="s">
        <v>1224</v>
      </c>
      <c r="C48" s="410" t="str">
        <f>FLUJO_DE_CAJA!B16</f>
        <v>AÑO 1</v>
      </c>
      <c r="D48" s="410" t="str">
        <f>FLUJO_DE_CAJA!C16</f>
        <v>AÑO 2</v>
      </c>
      <c r="E48" s="410" t="str">
        <f>FLUJO_DE_CAJA!D16</f>
        <v>AÑO 3</v>
      </c>
      <c r="F48" s="411" t="str">
        <f>FLUJO_DE_CAJA!E16</f>
        <v>AÑO 4</v>
      </c>
      <c r="G48" s="411" t="str">
        <f>FLUJO_DE_CAJA!F16</f>
        <v>AÑO 5</v>
      </c>
      <c r="N48" s="379" t="s">
        <v>1141</v>
      </c>
      <c r="O48" s="377" t="e">
        <f>E46</f>
        <v>#N/A</v>
      </c>
      <c r="P48" s="393"/>
      <c r="Q48" s="393"/>
      <c r="R48" s="393"/>
      <c r="S48" s="393"/>
      <c r="T48" s="393"/>
      <c r="U48" s="377"/>
      <c r="V48" s="393"/>
      <c r="W48" s="393"/>
      <c r="X48" s="393"/>
      <c r="Y48" s="393"/>
      <c r="Z48" s="393"/>
    </row>
    <row r="49" spans="2:26" x14ac:dyDescent="0.25">
      <c r="B49" s="412" t="s">
        <v>1149</v>
      </c>
      <c r="C49" s="386" t="e">
        <f>FLUJO_DE_CAJA!B17</f>
        <v>#N/A</v>
      </c>
      <c r="D49" s="386" t="e">
        <f>FLUJO_DE_CAJA!C17</f>
        <v>#N/A</v>
      </c>
      <c r="E49" s="386" t="e">
        <f>FLUJO_DE_CAJA!D17</f>
        <v>#N/A</v>
      </c>
      <c r="F49" s="386" t="e">
        <f>FLUJO_DE_CAJA!E17</f>
        <v>#N/A</v>
      </c>
      <c r="G49" s="386" t="e">
        <f>FLUJO_DE_CAJA!F17</f>
        <v>#N/A</v>
      </c>
      <c r="N49" s="379" t="s">
        <v>1178</v>
      </c>
      <c r="O49" s="377" t="e">
        <f>F77</f>
        <v>#N/A</v>
      </c>
      <c r="P49" s="393"/>
      <c r="Q49" s="393"/>
      <c r="R49" s="393"/>
      <c r="S49" s="393"/>
      <c r="T49" s="393"/>
      <c r="U49" s="377"/>
      <c r="V49" s="393"/>
      <c r="W49" s="393"/>
      <c r="X49" s="393"/>
      <c r="Y49" s="393"/>
      <c r="Z49" s="393"/>
    </row>
    <row r="50" spans="2:26" x14ac:dyDescent="0.25">
      <c r="B50" s="412" t="s">
        <v>1150</v>
      </c>
      <c r="C50" s="386" t="e">
        <f>FLUJO_DE_CAJA!B18</f>
        <v>#N/A</v>
      </c>
      <c r="D50" s="386" t="e">
        <f>FLUJO_DE_CAJA!C18</f>
        <v>#N/A</v>
      </c>
      <c r="E50" s="386" t="e">
        <f>FLUJO_DE_CAJA!D18</f>
        <v>#N/A</v>
      </c>
      <c r="F50" s="386" t="e">
        <f>FLUJO_DE_CAJA!E18</f>
        <v>#N/A</v>
      </c>
      <c r="G50" s="386" t="e">
        <f>FLUJO_DE_CAJA!F18</f>
        <v>#N/A</v>
      </c>
      <c r="N50" s="379" t="s">
        <v>1220</v>
      </c>
      <c r="O50" s="377" t="e">
        <f>C79</f>
        <v>#N/A</v>
      </c>
      <c r="P50" s="393"/>
      <c r="Q50" s="393"/>
      <c r="R50" s="393"/>
      <c r="S50" s="393"/>
      <c r="T50" s="393"/>
      <c r="U50" s="377"/>
      <c r="V50" s="393"/>
      <c r="W50" s="393"/>
      <c r="X50" s="393"/>
      <c r="Y50" s="393"/>
      <c r="Z50" s="393"/>
    </row>
    <row r="51" spans="2:26" x14ac:dyDescent="0.25">
      <c r="B51" s="412" t="s">
        <v>1151</v>
      </c>
      <c r="C51" s="386" t="e">
        <f>FLUJO_DE_CAJA!B19</f>
        <v>#N/A</v>
      </c>
      <c r="D51" s="386" t="e">
        <f>FLUJO_DE_CAJA!C19</f>
        <v>#N/A</v>
      </c>
      <c r="E51" s="386" t="e">
        <f>FLUJO_DE_CAJA!D19</f>
        <v>#N/A</v>
      </c>
      <c r="F51" s="386" t="e">
        <f>FLUJO_DE_CAJA!E19</f>
        <v>#N/A</v>
      </c>
      <c r="G51" s="386" t="e">
        <f>FLUJO_DE_CAJA!F19</f>
        <v>#N/A</v>
      </c>
    </row>
    <row r="52" spans="2:26" x14ac:dyDescent="0.25">
      <c r="B52" s="413" t="s">
        <v>1225</v>
      </c>
      <c r="C52" s="414" t="e">
        <f>SUM(C49:C51)</f>
        <v>#N/A</v>
      </c>
      <c r="D52" s="414" t="e">
        <f t="shared" ref="D52:G52" si="7">SUM(D49:D51)</f>
        <v>#N/A</v>
      </c>
      <c r="E52" s="414" t="e">
        <f t="shared" si="7"/>
        <v>#N/A</v>
      </c>
      <c r="F52" s="414" t="e">
        <f t="shared" si="7"/>
        <v>#N/A</v>
      </c>
      <c r="G52" s="414" t="e">
        <f t="shared" si="7"/>
        <v>#N/A</v>
      </c>
    </row>
    <row r="53" spans="2:26" ht="15.75" customHeight="1" x14ac:dyDescent="0.25">
      <c r="B53" s="412" t="s">
        <v>1153</v>
      </c>
      <c r="C53" s="386">
        <f>FLUJO_DE_CAJA!B21</f>
        <v>0</v>
      </c>
      <c r="D53" s="386">
        <f>FLUJO_DE_CAJA!C21</f>
        <v>0</v>
      </c>
      <c r="E53" s="386">
        <f>FLUJO_DE_CAJA!D21</f>
        <v>0</v>
      </c>
      <c r="F53" s="386">
        <f>FLUJO_DE_CAJA!E21</f>
        <v>0</v>
      </c>
      <c r="G53" s="386">
        <f>FLUJO_DE_CAJA!F21</f>
        <v>0</v>
      </c>
      <c r="P53" s="786" t="s">
        <v>1226</v>
      </c>
      <c r="Q53" s="786"/>
      <c r="R53" s="786"/>
      <c r="S53" s="786"/>
      <c r="T53" s="786"/>
      <c r="U53" s="786"/>
      <c r="V53" s="786"/>
      <c r="W53" s="786"/>
      <c r="X53" s="786"/>
      <c r="Y53" s="786"/>
      <c r="Z53" s="786"/>
    </row>
    <row r="54" spans="2:26" x14ac:dyDescent="0.25">
      <c r="B54" s="412" t="s">
        <v>1154</v>
      </c>
      <c r="C54" s="386">
        <f>FLUJO_DE_CAJA!B22</f>
        <v>0</v>
      </c>
      <c r="D54" s="386">
        <f>FLUJO_DE_CAJA!C22</f>
        <v>0</v>
      </c>
      <c r="E54" s="386">
        <f>FLUJO_DE_CAJA!D22</f>
        <v>0</v>
      </c>
      <c r="F54" s="386">
        <f>FLUJO_DE_CAJA!E22</f>
        <v>0</v>
      </c>
      <c r="G54" s="386">
        <f>FLUJO_DE_CAJA!F22</f>
        <v>0</v>
      </c>
      <c r="P54" s="784" t="s">
        <v>1216</v>
      </c>
      <c r="Q54" s="784"/>
      <c r="R54" s="784"/>
      <c r="S54" s="784"/>
      <c r="T54" s="784"/>
      <c r="U54" s="784"/>
      <c r="V54" s="784"/>
      <c r="W54" s="784"/>
      <c r="X54" s="784"/>
      <c r="Y54" s="784"/>
      <c r="Z54" s="784"/>
    </row>
    <row r="55" spans="2:26" x14ac:dyDescent="0.25">
      <c r="B55" s="412" t="s">
        <v>1155</v>
      </c>
      <c r="C55" s="386">
        <f>FLUJO_DE_CAJA!B23</f>
        <v>0</v>
      </c>
      <c r="D55" s="386">
        <f>FLUJO_DE_CAJA!C23</f>
        <v>0</v>
      </c>
      <c r="E55" s="386">
        <f>FLUJO_DE_CAJA!D23</f>
        <v>0</v>
      </c>
      <c r="F55" s="386">
        <f>FLUJO_DE_CAJA!E23</f>
        <v>0</v>
      </c>
      <c r="G55" s="386">
        <f>FLUJO_DE_CAJA!F23</f>
        <v>0</v>
      </c>
      <c r="N55" s="383"/>
      <c r="O55" s="383"/>
      <c r="P55" s="376">
        <v>-0.1</v>
      </c>
      <c r="Q55" s="376">
        <v>-0.08</v>
      </c>
      <c r="R55" s="376">
        <v>-0.06</v>
      </c>
      <c r="S55" s="376">
        <v>-0.04</v>
      </c>
      <c r="T55" s="376">
        <v>-0.02</v>
      </c>
      <c r="U55" s="376">
        <v>0</v>
      </c>
      <c r="V55" s="376">
        <v>0.02</v>
      </c>
      <c r="W55" s="376">
        <v>0.04</v>
      </c>
      <c r="X55" s="376">
        <v>0.06</v>
      </c>
      <c r="Y55" s="376">
        <v>0.08</v>
      </c>
      <c r="Z55" s="376">
        <v>0.1</v>
      </c>
    </row>
    <row r="56" spans="2:26" x14ac:dyDescent="0.25">
      <c r="B56" s="412" t="s">
        <v>1156</v>
      </c>
      <c r="C56" s="386">
        <f>FLUJO_DE_CAJA!B24</f>
        <v>0</v>
      </c>
      <c r="D56" s="386">
        <f>FLUJO_DE_CAJA!C24</f>
        <v>0</v>
      </c>
      <c r="E56" s="386">
        <f>FLUJO_DE_CAJA!D24</f>
        <v>0</v>
      </c>
      <c r="F56" s="386">
        <f>FLUJO_DE_CAJA!E24</f>
        <v>0</v>
      </c>
      <c r="G56" s="386">
        <f>FLUJO_DE_CAJA!F24</f>
        <v>0</v>
      </c>
      <c r="N56" s="379" t="s">
        <v>1107</v>
      </c>
      <c r="O56" s="380" t="e">
        <f>F10</f>
        <v>#N/A</v>
      </c>
      <c r="P56" s="393"/>
      <c r="Q56" s="393"/>
      <c r="R56" s="393"/>
      <c r="S56" s="393"/>
      <c r="T56" s="393"/>
      <c r="U56" s="377"/>
      <c r="V56" s="393"/>
      <c r="W56" s="393"/>
      <c r="X56" s="393"/>
      <c r="Y56" s="393"/>
      <c r="Z56" s="393"/>
    </row>
    <row r="57" spans="2:26" x14ac:dyDescent="0.25">
      <c r="B57" s="412" t="s">
        <v>1157</v>
      </c>
      <c r="C57" s="386">
        <f>FLUJO_DE_CAJA!B25</f>
        <v>0</v>
      </c>
      <c r="D57" s="386">
        <f>FLUJO_DE_CAJA!C25</f>
        <v>0</v>
      </c>
      <c r="E57" s="386">
        <f>FLUJO_DE_CAJA!D25</f>
        <v>0</v>
      </c>
      <c r="F57" s="386">
        <f>FLUJO_DE_CAJA!E25</f>
        <v>0</v>
      </c>
      <c r="G57" s="386">
        <f>FLUJO_DE_CAJA!F25</f>
        <v>0</v>
      </c>
      <c r="N57" s="379" t="s">
        <v>1112</v>
      </c>
      <c r="O57" s="380" t="e">
        <f>F15</f>
        <v>#N/A</v>
      </c>
      <c r="P57" s="393"/>
      <c r="Q57" s="393"/>
      <c r="R57" s="393"/>
      <c r="S57" s="393"/>
      <c r="T57" s="393"/>
      <c r="U57" s="377"/>
      <c r="V57" s="393"/>
      <c r="W57" s="393"/>
      <c r="X57" s="393"/>
      <c r="Y57" s="393"/>
      <c r="Z57" s="393"/>
    </row>
    <row r="58" spans="2:26" x14ac:dyDescent="0.25">
      <c r="B58" s="412" t="s">
        <v>1158</v>
      </c>
      <c r="C58" s="386">
        <f>FLUJO_DE_CAJA!B26</f>
        <v>0</v>
      </c>
      <c r="D58" s="386">
        <f>FLUJO_DE_CAJA!C26</f>
        <v>0</v>
      </c>
      <c r="E58" s="386">
        <f>FLUJO_DE_CAJA!D26</f>
        <v>0</v>
      </c>
      <c r="F58" s="386">
        <f>FLUJO_DE_CAJA!E26</f>
        <v>0</v>
      </c>
      <c r="G58" s="386">
        <f>FLUJO_DE_CAJA!F26</f>
        <v>0</v>
      </c>
      <c r="N58" s="379" t="s">
        <v>1217</v>
      </c>
      <c r="O58" s="380" t="e">
        <f>F22</f>
        <v>#N/A</v>
      </c>
      <c r="P58" s="393"/>
      <c r="Q58" s="393"/>
      <c r="R58" s="393"/>
      <c r="S58" s="393"/>
      <c r="T58" s="393"/>
      <c r="U58" s="377"/>
      <c r="V58" s="393"/>
      <c r="W58" s="393"/>
      <c r="X58" s="393"/>
      <c r="Y58" s="393"/>
      <c r="Z58" s="393"/>
    </row>
    <row r="59" spans="2:26" x14ac:dyDescent="0.25">
      <c r="B59" s="412" t="s">
        <v>1159</v>
      </c>
      <c r="C59" s="386">
        <f>FLUJO_DE_CAJA!B27</f>
        <v>0</v>
      </c>
      <c r="D59" s="386">
        <f>FLUJO_DE_CAJA!C27</f>
        <v>0</v>
      </c>
      <c r="E59" s="386">
        <f>FLUJO_DE_CAJA!D27</f>
        <v>0</v>
      </c>
      <c r="F59" s="386">
        <f>FLUJO_DE_CAJA!E27</f>
        <v>0</v>
      </c>
      <c r="G59" s="386">
        <f>FLUJO_DE_CAJA!F27</f>
        <v>0</v>
      </c>
      <c r="N59" s="379" t="s">
        <v>1218</v>
      </c>
      <c r="O59" s="380" t="e">
        <f>F33</f>
        <v>#N/A</v>
      </c>
      <c r="P59" s="393"/>
      <c r="Q59" s="393"/>
      <c r="R59" s="393"/>
      <c r="S59" s="393"/>
      <c r="T59" s="393"/>
      <c r="U59" s="377"/>
      <c r="V59" s="393"/>
      <c r="W59" s="393"/>
      <c r="X59" s="393"/>
      <c r="Y59" s="393"/>
      <c r="Z59" s="393"/>
    </row>
    <row r="60" spans="2:26" x14ac:dyDescent="0.25">
      <c r="B60" s="412" t="s">
        <v>1160</v>
      </c>
      <c r="C60" s="386">
        <f>FLUJO_DE_CAJA!B28</f>
        <v>0</v>
      </c>
      <c r="D60" s="386">
        <f>FLUJO_DE_CAJA!C28</f>
        <v>0</v>
      </c>
      <c r="E60" s="386">
        <f>FLUJO_DE_CAJA!D28</f>
        <v>0</v>
      </c>
      <c r="F60" s="386">
        <f>FLUJO_DE_CAJA!E28</f>
        <v>0</v>
      </c>
      <c r="G60" s="386">
        <f>FLUJO_DE_CAJA!F28</f>
        <v>0</v>
      </c>
      <c r="N60" s="379" t="s">
        <v>1219</v>
      </c>
      <c r="O60" s="380" t="e">
        <f>F37</f>
        <v>#N/A</v>
      </c>
      <c r="P60" s="393"/>
      <c r="Q60" s="393"/>
      <c r="R60" s="393"/>
      <c r="S60" s="393"/>
      <c r="T60" s="393"/>
      <c r="U60" s="377"/>
      <c r="V60" s="393"/>
      <c r="W60" s="393"/>
      <c r="X60" s="393"/>
      <c r="Y60" s="393"/>
      <c r="Z60" s="393"/>
    </row>
    <row r="61" spans="2:26" x14ac:dyDescent="0.25">
      <c r="B61" s="412" t="s">
        <v>1161</v>
      </c>
      <c r="C61" s="386">
        <f>FLUJO_DE_CAJA!B29</f>
        <v>0</v>
      </c>
      <c r="D61" s="386">
        <f>FLUJO_DE_CAJA!C29</f>
        <v>0</v>
      </c>
      <c r="E61" s="386">
        <f>FLUJO_DE_CAJA!D29</f>
        <v>0</v>
      </c>
      <c r="F61" s="386">
        <f>FLUJO_DE_CAJA!E29</f>
        <v>0</v>
      </c>
      <c r="G61" s="386">
        <f>FLUJO_DE_CAJA!F29</f>
        <v>0</v>
      </c>
      <c r="N61" s="379" t="s">
        <v>1141</v>
      </c>
      <c r="O61" s="380" t="e">
        <f>F46</f>
        <v>#N/A</v>
      </c>
      <c r="P61" s="393"/>
      <c r="Q61" s="393"/>
      <c r="R61" s="393"/>
      <c r="S61" s="393"/>
      <c r="T61" s="393"/>
      <c r="U61" s="377"/>
      <c r="V61" s="393"/>
      <c r="W61" s="393"/>
      <c r="X61" s="393"/>
      <c r="Y61" s="393"/>
      <c r="Z61" s="393"/>
    </row>
    <row r="62" spans="2:26" x14ac:dyDescent="0.25">
      <c r="B62" s="413" t="s">
        <v>1162</v>
      </c>
      <c r="C62" s="414">
        <f>SUM(C53:C61)*-1</f>
        <v>0</v>
      </c>
      <c r="D62" s="414">
        <f t="shared" ref="D62:G62" si="8">SUM(D53:D61)*-1</f>
        <v>0</v>
      </c>
      <c r="E62" s="414">
        <f t="shared" si="8"/>
        <v>0</v>
      </c>
      <c r="F62" s="414">
        <f t="shared" si="8"/>
        <v>0</v>
      </c>
      <c r="G62" s="414">
        <f t="shared" si="8"/>
        <v>0</v>
      </c>
      <c r="N62" s="379" t="s">
        <v>1178</v>
      </c>
      <c r="O62" s="380" t="e">
        <f>G77</f>
        <v>#N/A</v>
      </c>
      <c r="P62" s="393"/>
      <c r="Q62" s="393"/>
      <c r="R62" s="393"/>
      <c r="S62" s="393"/>
      <c r="T62" s="393"/>
      <c r="U62" s="377"/>
      <c r="V62" s="393"/>
      <c r="W62" s="393"/>
      <c r="X62" s="393"/>
      <c r="Y62" s="393"/>
      <c r="Z62" s="393"/>
    </row>
    <row r="63" spans="2:26" ht="16.5" thickBot="1" x14ac:dyDescent="0.3">
      <c r="B63" s="415" t="s">
        <v>1163</v>
      </c>
      <c r="C63" s="416" t="e">
        <f>C52+C62</f>
        <v>#N/A</v>
      </c>
      <c r="D63" s="416" t="e">
        <f t="shared" ref="D63:G63" si="9">D52+D62</f>
        <v>#N/A</v>
      </c>
      <c r="E63" s="416" t="e">
        <f t="shared" si="9"/>
        <v>#N/A</v>
      </c>
      <c r="F63" s="416" t="e">
        <f t="shared" si="9"/>
        <v>#N/A</v>
      </c>
      <c r="G63" s="416" t="e">
        <f t="shared" si="9"/>
        <v>#N/A</v>
      </c>
      <c r="N63" s="379" t="s">
        <v>1220</v>
      </c>
      <c r="O63" s="380" t="e">
        <f>C79</f>
        <v>#N/A</v>
      </c>
      <c r="P63" s="393"/>
      <c r="Q63" s="393"/>
      <c r="R63" s="393"/>
      <c r="S63" s="393"/>
      <c r="T63" s="393"/>
      <c r="U63" s="377"/>
      <c r="V63" s="393"/>
      <c r="W63" s="393"/>
      <c r="X63" s="393"/>
      <c r="Y63" s="393"/>
      <c r="Z63" s="393"/>
    </row>
    <row r="65" spans="2:26" x14ac:dyDescent="0.25">
      <c r="B65" s="409" t="s">
        <v>1227</v>
      </c>
      <c r="C65" s="411" t="str">
        <f>FLUJO_DE_CAJA!B34</f>
        <v>AÑO 1</v>
      </c>
      <c r="D65" s="411" t="str">
        <f>FLUJO_DE_CAJA!C34</f>
        <v>AÑO 2</v>
      </c>
      <c r="E65" s="411" t="str">
        <f>FLUJO_DE_CAJA!D34</f>
        <v>AÑO 3</v>
      </c>
      <c r="F65" s="411" t="str">
        <f>FLUJO_DE_CAJA!E34</f>
        <v>AÑO 4</v>
      </c>
      <c r="G65" s="411" t="str">
        <f>FLUJO_DE_CAJA!F34</f>
        <v>AÑO 5</v>
      </c>
    </row>
    <row r="66" spans="2:26" x14ac:dyDescent="0.25">
      <c r="B66" s="417" t="s">
        <v>1166</v>
      </c>
      <c r="C66" s="386">
        <f>FLUJO_DE_CAJA!B35</f>
        <v>0</v>
      </c>
      <c r="D66" s="386">
        <f>FLUJO_DE_CAJA!C35</f>
        <v>0</v>
      </c>
      <c r="E66" s="386">
        <f>FLUJO_DE_CAJA!D35</f>
        <v>0</v>
      </c>
      <c r="F66" s="386">
        <f>FLUJO_DE_CAJA!E35</f>
        <v>0</v>
      </c>
      <c r="G66" s="386">
        <f>FLUJO_DE_CAJA!F35</f>
        <v>0</v>
      </c>
      <c r="P66" s="786" t="s">
        <v>1228</v>
      </c>
      <c r="Q66" s="786"/>
      <c r="R66" s="786"/>
      <c r="S66" s="786"/>
      <c r="T66" s="786"/>
      <c r="U66" s="786"/>
      <c r="V66" s="786"/>
      <c r="W66" s="786"/>
      <c r="X66" s="786"/>
      <c r="Y66" s="786"/>
      <c r="Z66" s="786"/>
    </row>
    <row r="67" spans="2:26" x14ac:dyDescent="0.25">
      <c r="B67" s="417" t="s">
        <v>1167</v>
      </c>
      <c r="C67" s="386" t="e">
        <f>FLUJO_DE_CAJA!B36</f>
        <v>#N/A</v>
      </c>
      <c r="D67" s="386" t="e">
        <f>FLUJO_DE_CAJA!C36</f>
        <v>#N/A</v>
      </c>
      <c r="E67" s="386" t="e">
        <f>FLUJO_DE_CAJA!D36</f>
        <v>#N/A</v>
      </c>
      <c r="F67" s="386">
        <f>FLUJO_DE_CAJA!E36</f>
        <v>0</v>
      </c>
      <c r="G67" s="386">
        <f>FLUJO_DE_CAJA!F36</f>
        <v>0</v>
      </c>
      <c r="P67" s="784" t="s">
        <v>1216</v>
      </c>
      <c r="Q67" s="784"/>
      <c r="R67" s="784"/>
      <c r="S67" s="784"/>
      <c r="T67" s="784"/>
      <c r="U67" s="784"/>
      <c r="V67" s="784"/>
      <c r="W67" s="784"/>
      <c r="X67" s="784"/>
      <c r="Y67" s="784"/>
      <c r="Z67" s="784"/>
    </row>
    <row r="68" spans="2:26" x14ac:dyDescent="0.25">
      <c r="B68" s="417" t="s">
        <v>1168</v>
      </c>
      <c r="C68" s="386" t="e">
        <f>FLUJO_DE_CAJA!B37</f>
        <v>#N/A</v>
      </c>
      <c r="D68" s="386" t="e">
        <f>FLUJO_DE_CAJA!C37</f>
        <v>#N/A</v>
      </c>
      <c r="E68" s="386">
        <f>FLUJO_DE_CAJA!D37</f>
        <v>0</v>
      </c>
      <c r="F68" s="386">
        <f>FLUJO_DE_CAJA!E37</f>
        <v>0</v>
      </c>
      <c r="G68" s="386">
        <f>FLUJO_DE_CAJA!F37</f>
        <v>0</v>
      </c>
      <c r="N68" s="383"/>
      <c r="O68" s="383"/>
      <c r="P68" s="376">
        <v>-0.1</v>
      </c>
      <c r="Q68" s="376">
        <v>-0.08</v>
      </c>
      <c r="R68" s="376">
        <v>-0.06</v>
      </c>
      <c r="S68" s="376">
        <v>-0.04</v>
      </c>
      <c r="T68" s="376">
        <v>-0.02</v>
      </c>
      <c r="U68" s="376">
        <v>0</v>
      </c>
      <c r="V68" s="376">
        <v>0.02</v>
      </c>
      <c r="W68" s="376">
        <v>0.04</v>
      </c>
      <c r="X68" s="376">
        <v>0.06</v>
      </c>
      <c r="Y68" s="376">
        <v>0.08</v>
      </c>
      <c r="Z68" s="376">
        <v>0.1</v>
      </c>
    </row>
    <row r="69" spans="2:26" x14ac:dyDescent="0.25">
      <c r="B69" s="417" t="s">
        <v>1169</v>
      </c>
      <c r="C69" s="386" t="e">
        <f>ESTADO_DE_RESULTADOS!B36*-1</f>
        <v>#N/A</v>
      </c>
      <c r="D69" s="386" t="e">
        <f>ESTADO_DE_RESULTADOS!C36*-1</f>
        <v>#N/A</v>
      </c>
      <c r="E69" s="386" t="e">
        <f>ESTADO_DE_RESULTADOS!D36*-1</f>
        <v>#N/A</v>
      </c>
      <c r="F69" s="386" t="e">
        <f>ESTADO_DE_RESULTADOS!E36*-1</f>
        <v>#N/A</v>
      </c>
      <c r="G69" s="386" t="e">
        <f>ESTADO_DE_RESULTADOS!F36*-1</f>
        <v>#N/A</v>
      </c>
      <c r="N69" s="379" t="s">
        <v>1107</v>
      </c>
      <c r="O69" s="380" t="e">
        <f>G10</f>
        <v>#N/A</v>
      </c>
      <c r="P69" s="393"/>
      <c r="Q69" s="393"/>
      <c r="R69" s="393"/>
      <c r="S69" s="393"/>
      <c r="T69" s="393"/>
      <c r="U69" s="377"/>
      <c r="V69" s="393"/>
      <c r="W69" s="393"/>
      <c r="X69" s="393"/>
      <c r="Y69" s="393"/>
      <c r="Z69" s="393"/>
    </row>
    <row r="70" spans="2:26" x14ac:dyDescent="0.25">
      <c r="B70" s="418" t="s">
        <v>1170</v>
      </c>
      <c r="C70" s="386">
        <f>FLUJO_DE_CAJA!B39</f>
        <v>0</v>
      </c>
      <c r="D70" s="386">
        <f>FLUJO_DE_CAJA!C39</f>
        <v>0</v>
      </c>
      <c r="E70" s="386">
        <f>FLUJO_DE_CAJA!D39</f>
        <v>0</v>
      </c>
      <c r="F70" s="386">
        <f>FLUJO_DE_CAJA!E39</f>
        <v>0</v>
      </c>
      <c r="G70" s="386">
        <f>FLUJO_DE_CAJA!F39</f>
        <v>0</v>
      </c>
      <c r="N70" s="379" t="s">
        <v>1112</v>
      </c>
      <c r="O70" s="380" t="e">
        <f>G15</f>
        <v>#N/A</v>
      </c>
      <c r="P70" s="393"/>
      <c r="Q70" s="393"/>
      <c r="R70" s="393"/>
      <c r="S70" s="393"/>
      <c r="T70" s="393"/>
      <c r="U70" s="377"/>
      <c r="V70" s="393"/>
      <c r="W70" s="393"/>
      <c r="X70" s="393"/>
      <c r="Y70" s="393"/>
      <c r="Z70" s="393"/>
    </row>
    <row r="71" spans="2:26" x14ac:dyDescent="0.25">
      <c r="B71" s="419" t="s">
        <v>1171</v>
      </c>
      <c r="C71" s="420" t="e">
        <f>SUM(C66:C70)</f>
        <v>#N/A</v>
      </c>
      <c r="D71" s="420" t="e">
        <f t="shared" ref="D71:G71" si="10">SUM(D66:D70)</f>
        <v>#N/A</v>
      </c>
      <c r="E71" s="420" t="e">
        <f t="shared" si="10"/>
        <v>#N/A</v>
      </c>
      <c r="F71" s="420" t="e">
        <f t="shared" si="10"/>
        <v>#N/A</v>
      </c>
      <c r="G71" s="420" t="e">
        <f t="shared" si="10"/>
        <v>#N/A</v>
      </c>
      <c r="N71" s="379" t="s">
        <v>1217</v>
      </c>
      <c r="O71" s="380" t="e">
        <f>G22</f>
        <v>#N/A</v>
      </c>
      <c r="P71" s="393"/>
      <c r="Q71" s="393"/>
      <c r="R71" s="393"/>
      <c r="S71" s="393"/>
      <c r="T71" s="393"/>
      <c r="U71" s="377"/>
      <c r="V71" s="393"/>
      <c r="W71" s="393"/>
      <c r="X71" s="393"/>
      <c r="Y71" s="393"/>
      <c r="Z71" s="393"/>
    </row>
    <row r="72" spans="2:26" x14ac:dyDescent="0.25">
      <c r="N72" s="379" t="s">
        <v>1218</v>
      </c>
      <c r="O72" s="380" t="e">
        <f>G33</f>
        <v>#N/A</v>
      </c>
      <c r="P72" s="393"/>
      <c r="Q72" s="393"/>
      <c r="R72" s="393"/>
      <c r="S72" s="393"/>
      <c r="T72" s="393"/>
      <c r="U72" s="377"/>
      <c r="V72" s="393"/>
      <c r="W72" s="393"/>
      <c r="X72" s="393"/>
      <c r="Y72" s="393"/>
      <c r="Z72" s="393"/>
    </row>
    <row r="73" spans="2:26" x14ac:dyDescent="0.25">
      <c r="N73" s="379" t="s">
        <v>1219</v>
      </c>
      <c r="O73" s="380" t="e">
        <f>G37</f>
        <v>#N/A</v>
      </c>
      <c r="P73" s="393"/>
      <c r="Q73" s="393"/>
      <c r="R73" s="393"/>
      <c r="S73" s="393"/>
      <c r="T73" s="393"/>
      <c r="U73" s="377"/>
      <c r="V73" s="393"/>
      <c r="W73" s="393"/>
      <c r="X73" s="393"/>
      <c r="Y73" s="393"/>
      <c r="Z73" s="393"/>
    </row>
    <row r="74" spans="2:26" x14ac:dyDescent="0.25">
      <c r="B74" s="421" t="s">
        <v>1229</v>
      </c>
      <c r="C74" s="422" t="str">
        <f>ANALISIS_DE_VPN_Y_TIR!C16</f>
        <v>AÑO 0</v>
      </c>
      <c r="D74" s="423" t="str">
        <f>ANALISIS_DE_VPN_Y_TIR!D16</f>
        <v>AÑO 1</v>
      </c>
      <c r="E74" s="422" t="str">
        <f>ANALISIS_DE_VPN_Y_TIR!E16</f>
        <v>AÑO 2</v>
      </c>
      <c r="F74" s="422" t="str">
        <f>ANALISIS_DE_VPN_Y_TIR!F16</f>
        <v>AÑO 3</v>
      </c>
      <c r="G74" s="422" t="str">
        <f>ANALISIS_DE_VPN_Y_TIR!G16</f>
        <v>AÑO 4</v>
      </c>
      <c r="H74" s="422" t="str">
        <f>ANALISIS_DE_VPN_Y_TIR!H16</f>
        <v>AÑO 5</v>
      </c>
      <c r="N74" s="379" t="s">
        <v>1141</v>
      </c>
      <c r="O74" s="380" t="e">
        <f>G46</f>
        <v>#N/A</v>
      </c>
      <c r="P74" s="393"/>
      <c r="Q74" s="393"/>
      <c r="R74" s="393"/>
      <c r="S74" s="393"/>
      <c r="T74" s="393"/>
      <c r="U74" s="377"/>
      <c r="V74" s="393"/>
      <c r="W74" s="393"/>
      <c r="X74" s="393"/>
      <c r="Y74" s="393"/>
      <c r="Z74" s="393"/>
    </row>
    <row r="75" spans="2:26" x14ac:dyDescent="0.25">
      <c r="B75" s="424" t="s">
        <v>1172</v>
      </c>
      <c r="C75" s="425"/>
      <c r="D75" s="386" t="e">
        <f>C46+C63+C71</f>
        <v>#N/A</v>
      </c>
      <c r="E75" s="386" t="e">
        <f t="shared" ref="E75:H75" si="11">D46+D63+D71</f>
        <v>#N/A</v>
      </c>
      <c r="F75" s="386" t="e">
        <f t="shared" si="11"/>
        <v>#N/A</v>
      </c>
      <c r="G75" s="386" t="e">
        <f t="shared" si="11"/>
        <v>#N/A</v>
      </c>
      <c r="H75" s="386" t="e">
        <f t="shared" si="11"/>
        <v>#N/A</v>
      </c>
      <c r="N75" s="379" t="s">
        <v>1178</v>
      </c>
      <c r="O75" s="380" t="e">
        <f>H77</f>
        <v>#N/A</v>
      </c>
      <c r="P75" s="393"/>
      <c r="Q75" s="393"/>
      <c r="R75" s="393"/>
      <c r="S75" s="393"/>
      <c r="T75" s="393"/>
      <c r="U75" s="377"/>
      <c r="V75" s="393"/>
      <c r="W75" s="393"/>
      <c r="X75" s="393"/>
      <c r="Y75" s="393"/>
      <c r="Z75" s="393"/>
    </row>
    <row r="76" spans="2:26" x14ac:dyDescent="0.25">
      <c r="B76" s="424" t="s">
        <v>1173</v>
      </c>
      <c r="C76" s="406"/>
      <c r="D76" s="386" t="e">
        <f>FLUJO_DE_CAJA!B43</f>
        <v>#N/A</v>
      </c>
      <c r="E76" s="386" t="e">
        <f>FLUJO_DE_CAJA!C43</f>
        <v>#N/A</v>
      </c>
      <c r="F76" s="386" t="e">
        <f>FLUJO_DE_CAJA!D43</f>
        <v>#N/A</v>
      </c>
      <c r="G76" s="386" t="e">
        <f>FLUJO_DE_CAJA!E43</f>
        <v>#N/A</v>
      </c>
      <c r="H76" s="386" t="e">
        <f>FLUJO_DE_CAJA!F43</f>
        <v>#N/A</v>
      </c>
      <c r="N76" s="379" t="s">
        <v>1220</v>
      </c>
      <c r="O76" s="380" t="e">
        <f>C79</f>
        <v>#N/A</v>
      </c>
      <c r="P76" s="393"/>
      <c r="Q76" s="393"/>
      <c r="R76" s="393"/>
      <c r="S76" s="393"/>
      <c r="T76" s="393"/>
      <c r="U76" s="377"/>
      <c r="V76" s="393"/>
      <c r="W76" s="393"/>
      <c r="X76" s="393"/>
      <c r="Y76" s="393"/>
      <c r="Z76" s="393"/>
    </row>
    <row r="77" spans="2:26" x14ac:dyDescent="0.25">
      <c r="B77" s="426" t="s">
        <v>1230</v>
      </c>
      <c r="C77" s="427" t="e">
        <f>ANALISIS_DE_VPN_Y_TIR!H11*-1</f>
        <v>#N/A</v>
      </c>
      <c r="D77" s="427" t="e">
        <f>SUM(D75:D76)</f>
        <v>#N/A</v>
      </c>
      <c r="E77" s="427" t="e">
        <f t="shared" ref="E77:H77" si="12">SUM(E75:E76)</f>
        <v>#N/A</v>
      </c>
      <c r="F77" s="427" t="e">
        <f t="shared" si="12"/>
        <v>#N/A</v>
      </c>
      <c r="G77" s="427" t="e">
        <f t="shared" si="12"/>
        <v>#N/A</v>
      </c>
      <c r="H77" s="427" t="e">
        <f t="shared" si="12"/>
        <v>#N/A</v>
      </c>
    </row>
    <row r="78" spans="2:26" ht="16.5" thickBot="1" x14ac:dyDescent="0.3"/>
    <row r="79" spans="2:26" ht="16.5" thickBot="1" x14ac:dyDescent="0.3">
      <c r="B79" s="428" t="s">
        <v>1231</v>
      </c>
      <c r="C79" s="429" t="e">
        <f>C77+NPV(ANALISIS_DE_VPN_Y_TIR!H9,ANALISIS_DE_SENSIBILIDAD!D77:H77)</f>
        <v>#N/A</v>
      </c>
    </row>
    <row r="82" spans="2:2" x14ac:dyDescent="0.25">
      <c r="B82" s="392"/>
    </row>
  </sheetData>
  <mergeCells count="13">
    <mergeCell ref="P67:Z67"/>
    <mergeCell ref="P20:Z20"/>
    <mergeCell ref="P40:Z40"/>
    <mergeCell ref="P41:Z41"/>
    <mergeCell ref="P53:Z53"/>
    <mergeCell ref="P54:Z54"/>
    <mergeCell ref="P66:Z66"/>
    <mergeCell ref="P19:Z19"/>
    <mergeCell ref="B2:Z2"/>
    <mergeCell ref="P4:T4"/>
    <mergeCell ref="V4:Z4"/>
    <mergeCell ref="P6:Z6"/>
    <mergeCell ref="P7:Z7"/>
  </mergeCells>
  <pageMargins left="0.7" right="0.7" top="0.75" bottom="0.75" header="0.3" footer="0.3"/>
  <pageSetup paperSize="9" orientation="portrait" horizontalDpi="0" verticalDpi="0"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DB7DB9E746874493C4061C8D577258" ma:contentTypeVersion="6" ma:contentTypeDescription="Create a new document." ma:contentTypeScope="" ma:versionID="ab07adcda0a8b6b5701575ad44e7badc">
  <xsd:schema xmlns:xsd="http://www.w3.org/2001/XMLSchema" xmlns:xs="http://www.w3.org/2001/XMLSchema" xmlns:p="http://schemas.microsoft.com/office/2006/metadata/properties" xmlns:ns3="385bb701-6a6a-4452-a30d-81342ab48e13" xmlns:ns4="0bb49498-ce4c-4cf9-a6c1-74207eccc5c5" targetNamespace="http://schemas.microsoft.com/office/2006/metadata/properties" ma:root="true" ma:fieldsID="8ec4a0282dfb57e265aa22593fc960d8" ns3:_="" ns4:_="">
    <xsd:import namespace="385bb701-6a6a-4452-a30d-81342ab48e13"/>
    <xsd:import namespace="0bb49498-ce4c-4cf9-a6c1-74207eccc5c5"/>
    <xsd:element name="properties">
      <xsd:complexType>
        <xsd:sequence>
          <xsd:element name="documentManagement">
            <xsd:complexType>
              <xsd:all>
                <xsd:element ref="ns3:MediaServiceMetadata" minOccurs="0"/>
                <xsd:element ref="ns3:MediaServiceFastMetadata" minOccurs="0"/>
                <xsd:element ref="ns3:MediaLengthInSecond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5bb701-6a6a-4452-a30d-81342ab48e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0bb49498-ce4c-4cf9-a6c1-74207eccc5c5"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62F7DB2-68C3-490A-A838-AE92F45D63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bb701-6a6a-4452-a30d-81342ab48e13"/>
    <ds:schemaRef ds:uri="0bb49498-ce4c-4cf9-a6c1-74207eccc5c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3BC1DE4-B7CA-4E03-8BA3-81F0A2689E5F}">
  <ds:schemaRefs>
    <ds:schemaRef ds:uri="385bb701-6a6a-4452-a30d-81342ab48e13"/>
    <ds:schemaRef ds:uri="http://purl.org/dc/terms/"/>
    <ds:schemaRef ds:uri="0bb49498-ce4c-4cf9-a6c1-74207eccc5c5"/>
    <ds:schemaRef ds:uri="http://schemas.microsoft.com/office/2006/documentManagement/types"/>
    <ds:schemaRef ds:uri="http://schemas.openxmlformats.org/package/2006/metadata/core-properti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16555414-DA24-411B-9DDB-C273558217D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2</vt:i4>
      </vt:variant>
    </vt:vector>
  </HeadingPairs>
  <TitlesOfParts>
    <vt:vector size="18" baseType="lpstr">
      <vt:lpstr>INICIO</vt:lpstr>
      <vt:lpstr>INSTRUCCIONES </vt:lpstr>
      <vt:lpstr>INSTRUCCIONES2</vt:lpstr>
      <vt:lpstr>BASES</vt:lpstr>
      <vt:lpstr>PRODUCTO_O_SERVICIO</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lpstr>ANALISIS_DE_SENSIBILIDAD</vt:lpstr>
      <vt:lpstr>'INSTRUCCIONES '!_Hlk68449057</vt:lpstr>
      <vt:lpstr>'INSTRUCCIONES '!_Hlk68449185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dw0001la CI5</dc:creator>
  <cp:keywords/>
  <dc:description/>
  <cp:lastModifiedBy>Pc</cp:lastModifiedBy>
  <cp:revision/>
  <dcterms:created xsi:type="dcterms:W3CDTF">2021-01-02T21:03:45Z</dcterms:created>
  <dcterms:modified xsi:type="dcterms:W3CDTF">2022-07-29T17:32:09Z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0x010100B3DB7DB9E746874493C4061C8D577258</vt:lpwstr>
  </property>
</Properties>
</file>